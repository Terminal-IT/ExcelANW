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Z:\ANWListe\"/>
    </mc:Choice>
  </mc:AlternateContent>
  <xr:revisionPtr revIDLastSave="0" documentId="13_ncr:1_{CA826AFF-DCAB-41E3-B5BD-59F2EA793345}" xr6:coauthVersionLast="47" xr6:coauthVersionMax="47" xr10:uidLastSave="{00000000-0000-0000-0000-000000000000}"/>
  <bookViews>
    <workbookView xWindow="-108" yWindow="-108" windowWidth="23016" windowHeight="11520" firstSheet="3" activeTab="10" xr2:uid="{169BE721-65C1-4D1B-86B7-972A015502F1}"/>
  </bookViews>
  <sheets>
    <sheet name="Start" sheetId="1" r:id="rId1"/>
    <sheet name="Information" sheetId="119" r:id="rId2"/>
    <sheet name="Administration" sheetId="278" r:id="rId3"/>
    <sheet name="Anleitung" sheetId="279" r:id="rId4"/>
    <sheet name="BAO" sheetId="280" r:id="rId5"/>
    <sheet name="Personen" sheetId="281" r:id="rId6"/>
    <sheet name="Bereitschaften" sheetId="282" r:id="rId7"/>
    <sheet name="Feiertage" sheetId="283" r:id="rId8"/>
    <sheet name="Ferien" sheetId="284" r:id="rId9"/>
    <sheet name="Legende" sheetId="285" r:id="rId10"/>
    <sheet name="Jan" sheetId="286" r:id="rId11"/>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L25" i="286" l="1"/>
  <c r="BJ25" i="286"/>
  <c r="BH25" i="286"/>
  <c r="BF25" i="286"/>
  <c r="BD25" i="286"/>
  <c r="BB25" i="286"/>
  <c r="AZ25" i="286"/>
  <c r="AX25" i="286"/>
  <c r="AV25" i="286"/>
  <c r="AT25" i="286"/>
  <c r="AR25" i="286"/>
  <c r="AP25" i="286"/>
  <c r="AN25" i="286"/>
  <c r="AL25" i="286"/>
  <c r="AJ25" i="286"/>
  <c r="AH25" i="286"/>
  <c r="AF25" i="286"/>
  <c r="AD25" i="286"/>
  <c r="AB25" i="286"/>
  <c r="Z25" i="286"/>
  <c r="X25" i="286"/>
  <c r="V25" i="286"/>
  <c r="T25" i="286"/>
  <c r="R25" i="286"/>
  <c r="P25" i="286"/>
  <c r="N25" i="286"/>
  <c r="L25" i="286"/>
  <c r="J25" i="286"/>
  <c r="H25" i="286"/>
  <c r="F25" i="286"/>
  <c r="D25" i="286"/>
  <c r="BL23" i="286"/>
  <c r="BJ23" i="286"/>
  <c r="BH23" i="286"/>
  <c r="BF23" i="286"/>
  <c r="BD23" i="286"/>
  <c r="BB23" i="286"/>
  <c r="AZ23" i="286"/>
  <c r="AX23" i="286"/>
  <c r="AV23" i="286"/>
  <c r="AT23" i="286"/>
  <c r="AR23" i="286"/>
  <c r="AP23" i="286"/>
  <c r="AN23" i="286"/>
  <c r="AL23" i="286"/>
  <c r="AJ23" i="286"/>
  <c r="AH23" i="286"/>
  <c r="AF23" i="286"/>
  <c r="AD23" i="286"/>
  <c r="AB23" i="286"/>
  <c r="Z23" i="286"/>
  <c r="X23" i="286"/>
  <c r="V23" i="286"/>
  <c r="T23" i="286"/>
  <c r="R23" i="286"/>
  <c r="P23" i="286"/>
  <c r="N23" i="286"/>
  <c r="L23" i="286"/>
  <c r="J23" i="286"/>
  <c r="H23" i="286"/>
  <c r="F23" i="286"/>
  <c r="D23" i="286"/>
  <c r="BL19" i="286"/>
  <c r="BJ19" i="286"/>
  <c r="BH19" i="286"/>
  <c r="BF19" i="286"/>
  <c r="BD19" i="286"/>
  <c r="BB19" i="286"/>
  <c r="AZ19" i="286"/>
  <c r="AX19" i="286"/>
  <c r="AV19" i="286"/>
  <c r="AT19" i="286"/>
  <c r="AR19" i="286"/>
  <c r="AP19" i="286"/>
  <c r="AN19" i="286"/>
  <c r="AL19" i="286"/>
  <c r="AJ19" i="286"/>
  <c r="AH19" i="286"/>
  <c r="AF19" i="286"/>
  <c r="AD19" i="286"/>
  <c r="AB19" i="286"/>
  <c r="Z19" i="286"/>
  <c r="X19" i="286"/>
  <c r="V19" i="286"/>
  <c r="T19" i="286"/>
  <c r="R19" i="286"/>
  <c r="P19" i="286"/>
  <c r="N19" i="286"/>
  <c r="L19" i="286"/>
  <c r="J19" i="286"/>
  <c r="H19" i="286"/>
  <c r="F19" i="286"/>
  <c r="D19" i="286"/>
  <c r="BL14" i="286"/>
  <c r="BJ14" i="286"/>
  <c r="BH14" i="286"/>
  <c r="BF14" i="286"/>
  <c r="BD14" i="286"/>
  <c r="BB14" i="286"/>
  <c r="AZ14" i="286"/>
  <c r="AX14" i="286"/>
  <c r="AV14" i="286"/>
  <c r="AT14" i="286"/>
  <c r="AR14" i="286"/>
  <c r="AP14" i="286"/>
  <c r="AN14" i="286"/>
  <c r="AL14" i="286"/>
  <c r="AJ14" i="286"/>
  <c r="AH14" i="286"/>
  <c r="AF14" i="286"/>
  <c r="AD14" i="286"/>
  <c r="AB14" i="286"/>
  <c r="Z14" i="286"/>
  <c r="X14" i="286"/>
  <c r="V14" i="286"/>
  <c r="T14" i="286"/>
  <c r="R14" i="286"/>
  <c r="P14" i="286"/>
  <c r="N14" i="286"/>
  <c r="L14" i="286"/>
  <c r="J14" i="286"/>
  <c r="H14" i="286"/>
  <c r="F14" i="286"/>
  <c r="D14" i="286"/>
  <c r="BL11" i="286"/>
  <c r="BJ11" i="286"/>
  <c r="BH11" i="286"/>
  <c r="BF11" i="286"/>
  <c r="BD11" i="286"/>
  <c r="BB11" i="286"/>
  <c r="AZ11" i="286"/>
  <c r="AX11" i="286"/>
  <c r="AV11" i="286"/>
  <c r="AT11" i="286"/>
  <c r="AR11" i="286"/>
  <c r="AP11" i="286"/>
  <c r="AN11" i="286"/>
  <c r="AL11" i="286"/>
  <c r="AJ11" i="286"/>
  <c r="AH11" i="286"/>
  <c r="AF11" i="286"/>
  <c r="AD11" i="286"/>
  <c r="AB11" i="286"/>
  <c r="Z11" i="286"/>
  <c r="X11" i="286"/>
  <c r="V11" i="286"/>
  <c r="T11" i="286"/>
  <c r="R11" i="286"/>
  <c r="P11" i="286"/>
  <c r="N11" i="286"/>
  <c r="L11" i="286"/>
  <c r="J11" i="286"/>
  <c r="H11" i="286"/>
  <c r="F11" i="286"/>
  <c r="BL7" i="286"/>
  <c r="BJ7" i="286"/>
  <c r="BH7" i="286"/>
  <c r="BF7" i="286"/>
  <c r="BD7" i="286"/>
  <c r="BB7" i="286"/>
  <c r="AZ7" i="286"/>
  <c r="AX7" i="286"/>
  <c r="AV7" i="286"/>
  <c r="AT7" i="286"/>
  <c r="AR7" i="286"/>
  <c r="AP7" i="286"/>
  <c r="AN7" i="286"/>
  <c r="AL7" i="286"/>
  <c r="AJ7" i="286"/>
  <c r="AH7" i="286"/>
  <c r="AF7" i="286"/>
  <c r="AD7" i="286"/>
  <c r="AB7" i="286"/>
  <c r="Z7" i="286"/>
  <c r="X7" i="286"/>
  <c r="V7" i="286"/>
  <c r="T7" i="286"/>
  <c r="R7" i="286"/>
  <c r="P7" i="286"/>
  <c r="N7" i="286"/>
  <c r="L7" i="286"/>
  <c r="J7" i="286"/>
  <c r="H7" i="286"/>
  <c r="F7" i="286"/>
  <c r="D7" i="286"/>
  <c r="B25" i="286"/>
  <c r="B23" i="286"/>
  <c r="B19" i="286"/>
  <c r="B14" i="286"/>
  <c r="B11" i="286"/>
  <c r="B7" i="286"/>
  <c r="D5" i="286"/>
  <c r="D3" i="286" s="1"/>
  <c r="C5" i="286"/>
  <c r="A2" i="280"/>
  <c r="A3" i="280"/>
  <c r="J14" i="281"/>
  <c r="J13" i="281"/>
  <c r="J12" i="281"/>
  <c r="J11" i="281"/>
  <c r="J10" i="281"/>
  <c r="J9" i="281"/>
  <c r="J8" i="281"/>
  <c r="J7" i="281"/>
  <c r="J6" i="281"/>
  <c r="J5" i="281"/>
  <c r="J4" i="281"/>
  <c r="J3" i="281"/>
  <c r="J2" i="281"/>
  <c r="F5" i="286" l="1"/>
  <c r="C4" i="286"/>
  <c r="D4" i="286"/>
  <c r="F4" i="286" l="1"/>
  <c r="H5" i="286"/>
  <c r="F3" i="286"/>
  <c r="H3" i="286" l="1"/>
  <c r="J5" i="286"/>
  <c r="H4" i="286"/>
  <c r="L5" i="286" l="1"/>
  <c r="J4" i="286"/>
  <c r="J3" i="286"/>
  <c r="L3" i="286" l="1"/>
  <c r="L4" i="286"/>
  <c r="N5" i="286"/>
  <c r="N4" i="286" l="1"/>
  <c r="P5" i="286"/>
  <c r="N3" i="286"/>
  <c r="P3" i="286" l="1"/>
  <c r="R5" i="286"/>
  <c r="P4" i="286"/>
  <c r="T5" i="286" l="1"/>
  <c r="R4" i="286"/>
  <c r="R3" i="286"/>
  <c r="T3" i="286" l="1"/>
  <c r="T4" i="286"/>
  <c r="V5" i="286"/>
  <c r="V4" i="286" l="1"/>
  <c r="X5" i="286"/>
  <c r="V3" i="286"/>
  <c r="X3" i="286" l="1"/>
  <c r="Z5" i="286"/>
  <c r="X4" i="286"/>
  <c r="AB5" i="286" l="1"/>
  <c r="Z4" i="286"/>
  <c r="Z3" i="286"/>
  <c r="AB3" i="286" l="1"/>
  <c r="AB4" i="286"/>
  <c r="AD5" i="286"/>
  <c r="AD4" i="286" l="1"/>
  <c r="AF5" i="286"/>
  <c r="AD3" i="286"/>
  <c r="AF3" i="286" l="1"/>
  <c r="AH5" i="286"/>
  <c r="AF4" i="286"/>
  <c r="AJ5" i="286" l="1"/>
  <c r="AH4" i="286"/>
  <c r="AH3" i="286"/>
  <c r="AJ3" i="286" l="1"/>
  <c r="AJ4" i="286"/>
  <c r="AL5" i="286"/>
  <c r="AL4" i="286" l="1"/>
  <c r="AN5" i="286"/>
  <c r="AL3" i="286"/>
  <c r="AN3" i="286" l="1"/>
  <c r="AP5" i="286"/>
  <c r="AN4" i="286"/>
  <c r="AR5" i="286" l="1"/>
  <c r="AP4" i="286"/>
  <c r="AP3" i="286"/>
  <c r="AR3" i="286" l="1"/>
  <c r="AR4" i="286"/>
  <c r="AT5" i="286"/>
  <c r="AT4" i="286" l="1"/>
  <c r="AV5" i="286"/>
  <c r="AT3" i="286"/>
  <c r="AV3" i="286" l="1"/>
  <c r="AX5" i="286"/>
  <c r="AV4" i="286"/>
  <c r="AZ5" i="286" l="1"/>
  <c r="AX4" i="286"/>
  <c r="AX3" i="286"/>
  <c r="AZ3" i="286" l="1"/>
  <c r="AZ4" i="286"/>
  <c r="BB5" i="286"/>
  <c r="BB4" i="286" l="1"/>
  <c r="BD5" i="286"/>
  <c r="BB3" i="286"/>
  <c r="BD3" i="286" l="1"/>
  <c r="BF5" i="286"/>
  <c r="BD4" i="286"/>
  <c r="BH5" i="286" l="1"/>
  <c r="BF4" i="286"/>
  <c r="BF3" i="286"/>
  <c r="BH3" i="286" l="1"/>
  <c r="BH4" i="286"/>
  <c r="BJ5" i="286"/>
  <c r="BJ4" i="286" l="1"/>
  <c r="BL5" i="286"/>
  <c r="BJ3" i="286"/>
  <c r="BL3" i="286" l="1"/>
  <c r="BL4" i="286"/>
</calcChain>
</file>

<file path=xl/sharedStrings.xml><?xml version="1.0" encoding="utf-8"?>
<sst xmlns="http://schemas.openxmlformats.org/spreadsheetml/2006/main" count="249" uniqueCount="115">
  <si>
    <t>Anwesenheitsverwaltung</t>
  </si>
  <si>
    <t>Jahr:</t>
  </si>
  <si>
    <t>Anleitung zur Bedienung</t>
  </si>
  <si>
    <t>Feiertag</t>
  </si>
  <si>
    <t>Datum</t>
  </si>
  <si>
    <t>Neujahr</t>
  </si>
  <si>
    <t>Tag der Arbeit</t>
  </si>
  <si>
    <t>Tag der Deutschen Einheit</t>
  </si>
  <si>
    <t>Allerheiligen</t>
  </si>
  <si>
    <t>1. Weihnachtsfeiertag</t>
  </si>
  <si>
    <t>2. Weihnachtsfeiertag</t>
  </si>
  <si>
    <t>Karfreitag</t>
  </si>
  <si>
    <t>Ostermontag</t>
  </si>
  <si>
    <t>Christi Himmelfahrt</t>
  </si>
  <si>
    <t>Pfingstmontag</t>
  </si>
  <si>
    <t>Fronleichnam</t>
  </si>
  <si>
    <t>Ferienart</t>
  </si>
  <si>
    <t>Beginn</t>
  </si>
  <si>
    <t>Ende</t>
  </si>
  <si>
    <t>Osterferien</t>
  </si>
  <si>
    <t>Sommerferien</t>
  </si>
  <si>
    <t>Herbstferien</t>
  </si>
  <si>
    <t>Weihnachtsferien</t>
  </si>
  <si>
    <t>Gruppierung</t>
  </si>
  <si>
    <t>Sortierung</t>
  </si>
  <si>
    <t>Teamname</t>
  </si>
  <si>
    <t>Vorname</t>
  </si>
  <si>
    <t>Nachname</t>
  </si>
  <si>
    <t>Kürzel</t>
  </si>
  <si>
    <t>Funktion</t>
  </si>
  <si>
    <t>Aktiv</t>
  </si>
  <si>
    <t>BAO_Team</t>
  </si>
  <si>
    <t>Vollname</t>
  </si>
  <si>
    <t>A</t>
  </si>
  <si>
    <t>ZA</t>
  </si>
  <si>
    <t>Max</t>
  </si>
  <si>
    <t>Mustermann</t>
  </si>
  <si>
    <t>MM</t>
  </si>
  <si>
    <t>Leiter</t>
  </si>
  <si>
    <t>Ja</t>
  </si>
  <si>
    <t>EA/F TECHNIK</t>
  </si>
  <si>
    <t>B</t>
  </si>
  <si>
    <t>Anna</t>
  </si>
  <si>
    <t>Beispiel</t>
  </si>
  <si>
    <t>AB</t>
  </si>
  <si>
    <t>ISB</t>
  </si>
  <si>
    <t>ZA P/K</t>
  </si>
  <si>
    <t>Peter</t>
  </si>
  <si>
    <t>Test1</t>
  </si>
  <si>
    <t>PT</t>
  </si>
  <si>
    <t>P/K</t>
  </si>
  <si>
    <t>BAO DV</t>
  </si>
  <si>
    <t>Test2</t>
  </si>
  <si>
    <t>DV</t>
  </si>
  <si>
    <t>Test3</t>
  </si>
  <si>
    <t>DV/MobiKom</t>
  </si>
  <si>
    <t>Test4</t>
  </si>
  <si>
    <t>C</t>
  </si>
  <si>
    <t>Test5</t>
  </si>
  <si>
    <t>Funk</t>
  </si>
  <si>
    <t>Test6</t>
  </si>
  <si>
    <t>BAO FUNK</t>
  </si>
  <si>
    <t>Test7</t>
  </si>
  <si>
    <t>Azubi</t>
  </si>
  <si>
    <t>Test8</t>
  </si>
  <si>
    <t>MVL Bereitschaft</t>
  </si>
  <si>
    <t>Hilfszahlen:</t>
  </si>
  <si>
    <t>KW</t>
  </si>
  <si>
    <t>Urlaubssperre</t>
  </si>
  <si>
    <t>EA/F Technik</t>
  </si>
  <si>
    <t>BAO Funk</t>
  </si>
  <si>
    <t>Bereit für neue Grundstruktur</t>
  </si>
  <si>
    <t>Information</t>
  </si>
  <si>
    <t>Administration</t>
  </si>
  <si>
    <t>Version / Änderungsverlauf</t>
  </si>
  <si>
    <t>Stand:</t>
  </si>
  <si>
    <t>Kontakt:</t>
  </si>
  <si>
    <t>—</t>
  </si>
  <si>
    <t>Notizen:</t>
  </si>
  <si>
    <t>Bundesland</t>
  </si>
  <si>
    <t>NW</t>
  </si>
  <si>
    <t>Hinweis</t>
  </si>
  <si>
    <t>Tom</t>
  </si>
  <si>
    <t>TO</t>
  </si>
  <si>
    <t>MVL</t>
  </si>
  <si>
    <t>Fab</t>
  </si>
  <si>
    <t>FA</t>
  </si>
  <si>
    <t>Sys</t>
  </si>
  <si>
    <t>Mel</t>
  </si>
  <si>
    <t>ME</t>
  </si>
  <si>
    <t>BE</t>
  </si>
  <si>
    <t>Bundesland:</t>
  </si>
  <si>
    <t>NW – Nordrhein-Westfalen</t>
  </si>
  <si>
    <t>MVL-Farbton:</t>
  </si>
  <si>
    <t>#B4C6E7</t>
  </si>
  <si>
    <t>1. Personen im Blatt 'Personen' pflegen</t>
  </si>
  <si>
    <t>2. Bundesland wählen &amp; Jahr prüfen</t>
  </si>
  <si>
    <t>3. Feiertage &amp; Ferien erstellen/aktualisieren</t>
  </si>
  <si>
    <t>4. Monatsblätter erstellen</t>
  </si>
  <si>
    <t>5. BAO/Bereitschaften integrieren</t>
  </si>
  <si>
    <t>Nein</t>
  </si>
  <si>
    <t>Startpunkte:</t>
  </si>
  <si>
    <t>A-Masterlauf (A00)</t>
  </si>
  <si>
    <t>Admin_Starte_A_Master</t>
  </si>
  <si>
    <t>A-Einzelmodule (A01–A07)</t>
  </si>
  <si>
    <t>Admin_Starte_A_Einzel</t>
  </si>
  <si>
    <t>B-Gruppe (Monatssetup)</t>
  </si>
  <si>
    <t>Admin_Starte_B_Monatssetup</t>
  </si>
  <si>
    <t>C-Gruppe (Formatierung)</t>
  </si>
  <si>
    <t>Admin_Starte_C_Formatierung</t>
  </si>
  <si>
    <t>D-Gruppe (BAO-Integration)</t>
  </si>
  <si>
    <t>Admin_Starte_D_BAOIntegration</t>
  </si>
  <si>
    <t>F-Gruppe (Personen-Tools)</t>
  </si>
  <si>
    <t>Admin_Starte_F_PersonenTools</t>
  </si>
  <si>
    <t>;P;S;TA;Z;UR;UV;ABW;GL;SU;BE;BE-D;BA-B;BA-D;BAO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</si>
</sst>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mmmm"/>
    <numFmt numFmtId="166" formatCode="ddd"/>
    <numFmt numFmtId="167" formatCode="dd"/>
  </numFmts>
  <fonts count="12" x14ac:knownFonts="1">
    <font>
      <sz val="11"/>
      <color theme="1"/>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
      <i/>
      <sz val="11"/>
      <color theme="1"/>
      <name val="Calibri"/>
      <family val="2"/>
      <scheme val="minor"/>
    </font>
    <font>
      <b/>
      <sz val="11"/>
      <color rgb="FF000000"/>
      <name val="Calibri"/>
      <family val="2"/>
      <scheme val="minor"/>
    </font>
    <font>
      <sz val="10"/>
      <color theme="1"/>
      <name val="Calibri"/>
      <family val="2"/>
      <scheme val="minor"/>
    </font>
    <font>
      <i/>
      <sz val="10"/>
      <color theme="1"/>
      <name val="Calibri"/>
      <family val="2"/>
      <scheme val="minor"/>
    </font>
    <font>
      <sz val="11"/>
      <color rgb="FF000000"/>
      <name val="Calibri"/>
      <family val="2"/>
    </font>
    <font>
      <sz val="10"/>
      <color rgb="FF000000"/>
      <name val="Calibri"/>
      <family val="2"/>
      <scheme val="minor"/>
    </font>
    <font>
      <b/>
      <sz val="10"/>
      <color rgb="FFFFFFFF"/>
      <name val="Calibri"/>
      <family val="2"/>
      <scheme val="minor"/>
    </font>
  </fonts>
  <fills count="8">
    <fill>
      <patternFill patternType="none"/>
    </fill>
    <fill>
      <patternFill patternType="gray125"/>
    </fill>
    <fill>
      <patternFill patternType="solid">
        <fgColor rgb="FFC8C8C8"/>
        <bgColor indexed="64"/>
      </patternFill>
    </fill>
    <fill>
      <patternFill patternType="solid">
        <fgColor rgb="FFB4C6E7"/>
        <bgColor indexed="64"/>
      </patternFill>
    </fill>
    <fill>
      <patternFill patternType="solid">
        <fgColor rgb="FFF2F2F2"/>
        <bgColor indexed="64"/>
      </patternFill>
    </fill>
    <fill>
      <patternFill patternType="solid">
        <fgColor rgb="FFFFF2CC"/>
        <bgColor indexed="64"/>
      </patternFill>
    </fill>
    <fill>
      <patternFill patternType="solid">
        <fgColor rgb="FFED7D31"/>
        <bgColor indexed="64"/>
      </patternFill>
    </fill>
    <fill>
      <patternFill patternType="solid">
        <fgColor rgb="FFFF9696"/>
        <bgColor indexed="64"/>
      </patternFill>
    </fill>
  </fills>
  <borders count="4">
    <border>
      <left/>
      <right/>
      <top/>
      <bottom/>
      <diagonal/>
    </border>
    <border>
      <left/>
      <right style="thin">
        <color rgb="FFC8C8C8"/>
      </right>
      <top/>
      <bottom/>
      <diagonal/>
    </border>
    <border>
      <left/>
      <right/>
      <top style="medium">
        <color rgb="FF000000"/>
      </top>
      <bottom/>
      <diagonal/>
    </border>
    <border>
      <left/>
      <right style="thin">
        <color rgb="FFC8C8C8"/>
      </right>
      <top style="medium">
        <color rgb="FF000000"/>
      </top>
      <bottom/>
      <diagonal/>
    </border>
  </borders>
  <cellStyleXfs count="1">
    <xf numFmtId="0" fontId="0" fillId="0" borderId="0"/>
  </cellStyleXfs>
  <cellXfs count="34">
    <xf numFmtId="0" fontId="0" fillId="0" borderId="0" xfId="0"/>
    <xf numFmtId="0" fontId="2" fillId="0" borderId="0" xfId="0" applyFont="1"/>
    <xf numFmtId="0" fontId="1" fillId="0" borderId="0" xfId="0" applyFont="1"/>
    <xf numFmtId="0" fontId="3" fillId="0" borderId="0" xfId="0" applyFont="1"/>
    <xf numFmtId="0" fontId="1" fillId="2" borderId="0" xfId="0" applyFont="1" applyFill="1"/>
    <xf numFmtId="164" fontId="0" fillId="0" borderId="0" xfId="0" applyNumberFormat="1"/>
    <xf numFmtId="0" fontId="4" fillId="3" borderId="0" xfId="0" applyFont="1" applyFill="1"/>
    <xf numFmtId="0" fontId="5" fillId="0" borderId="0" xfId="0" applyFont="1"/>
    <xf numFmtId="0" fontId="1" fillId="3" borderId="0" xfId="0" applyFont="1" applyFill="1"/>
    <xf numFmtId="0" fontId="6" fillId="3" borderId="0" xfId="0" applyFont="1" applyFill="1"/>
    <xf numFmtId="0" fontId="0" fillId="0" borderId="0" xfId="0" applyAlignment="1">
      <alignment horizontal="center"/>
    </xf>
    <xf numFmtId="0" fontId="7" fillId="0" borderId="0" xfId="0" applyFont="1" applyAlignment="1">
      <alignment horizontal="center" vertical="center"/>
    </xf>
    <xf numFmtId="0" fontId="7" fillId="0" borderId="0" xfId="0" applyFont="1" applyAlignment="1">
      <alignment horizontal="right" vertical="center"/>
    </xf>
    <xf numFmtId="0" fontId="7" fillId="0" borderId="1" xfId="0" applyFont="1" applyBorder="1" applyAlignment="1">
      <alignment horizontal="center" vertical="center"/>
    </xf>
    <xf numFmtId="22" fontId="0" fillId="0" borderId="0" xfId="0" applyNumberFormat="1"/>
    <xf numFmtId="0" fontId="0" fillId="4" borderId="0" xfId="0" applyFill="1"/>
    <xf numFmtId="165" fontId="7" fillId="0" borderId="0" xfId="0" applyNumberFormat="1" applyFont="1" applyAlignment="1">
      <alignment horizontal="center" vertical="center"/>
    </xf>
    <xf numFmtId="0" fontId="7" fillId="0" borderId="2" xfId="0" applyFont="1" applyBorder="1" applyAlignment="1">
      <alignment horizontal="right" vertical="center"/>
    </xf>
    <xf numFmtId="0" fontId="7" fillId="0" borderId="3" xfId="0" applyFont="1" applyBorder="1" applyAlignment="1">
      <alignment horizontal="center" vertical="center"/>
    </xf>
    <xf numFmtId="0" fontId="7" fillId="0" borderId="2" xfId="0" applyFont="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0" xfId="0" applyFont="1" applyFill="1" applyAlignment="1">
      <alignment horizontal="left" vertical="center"/>
    </xf>
    <xf numFmtId="0" fontId="7" fillId="6" borderId="1" xfId="0" applyFont="1" applyFill="1" applyBorder="1" applyAlignment="1">
      <alignment horizontal="left" vertical="center"/>
    </xf>
    <xf numFmtId="0" fontId="7" fillId="3" borderId="0" xfId="0" applyFont="1" applyFill="1" applyAlignment="1">
      <alignment horizontal="center" vertical="center"/>
    </xf>
    <xf numFmtId="0" fontId="7" fillId="3" borderId="1" xfId="0" applyFont="1" applyFill="1" applyBorder="1" applyAlignment="1">
      <alignment horizontal="center" vertical="center"/>
    </xf>
    <xf numFmtId="0" fontId="7" fillId="0" borderId="0" xfId="0" applyFont="1" applyAlignment="1">
      <alignment horizontal="center" vertical="center"/>
    </xf>
    <xf numFmtId="166" fontId="7" fillId="0" borderId="0" xfId="0" applyNumberFormat="1" applyFont="1" applyAlignment="1">
      <alignment horizontal="center" vertical="center"/>
    </xf>
    <xf numFmtId="167" fontId="7" fillId="0" borderId="0" xfId="0" applyNumberFormat="1" applyFont="1" applyAlignment="1">
      <alignment horizontal="center" vertical="center"/>
    </xf>
    <xf numFmtId="14" fontId="7" fillId="0" borderId="1" xfId="0" applyNumberFormat="1" applyFont="1" applyBorder="1" applyAlignment="1">
      <alignment horizontal="center" vertical="center"/>
    </xf>
    <xf numFmtId="0" fontId="10" fillId="0" borderId="0" xfId="0" applyFont="1" applyAlignment="1">
      <alignment horizontal="center" vertical="center"/>
    </xf>
    <xf numFmtId="0" fontId="11" fillId="7" borderId="0" xfId="0" applyFont="1" applyFill="1" applyAlignment="1">
      <alignment horizontal="center" vertical="center"/>
    </xf>
  </cellXfs>
  <cellStyles count="1">
    <cellStyle name="Standard" xfId="0" builtinId="0"/>
  </cellStyles>
  <dxfs count="13">
    <dxf>
      <numFmt numFmtId="164" formatCode="dd\.mm\.yyyy"/>
    </dxf>
    <dxf>
      <numFmt numFmtId="164" formatCode="dd\.mm\.yyyy"/>
    </dxf>
    <dxf>
      <font>
        <b/>
        <i val="0"/>
        <strike val="0"/>
        <condense val="0"/>
        <extend val="0"/>
        <outline val="0"/>
        <shadow val="0"/>
        <u val="none"/>
        <vertAlign val="baseline"/>
        <sz val="11"/>
        <color theme="1"/>
        <name val="Calibri"/>
        <family val="2"/>
        <scheme val="minor"/>
      </font>
      <fill>
        <patternFill patternType="solid">
          <fgColor indexed="64"/>
          <bgColor rgb="FFC8C8C8"/>
        </patternFill>
      </fill>
    </dxf>
    <dxf>
      <numFmt numFmtId="164" formatCode="dd\.mm\.yyyy"/>
    </dxf>
    <dxf>
      <font>
        <b/>
        <i val="0"/>
        <strike val="0"/>
        <condense val="0"/>
        <extend val="0"/>
        <outline val="0"/>
        <shadow val="0"/>
        <u val="none"/>
        <vertAlign val="baseline"/>
        <sz val="11"/>
        <color theme="1"/>
        <name val="Calibri"/>
        <family val="2"/>
        <scheme val="minor"/>
      </font>
      <fill>
        <patternFill patternType="solid">
          <fgColor indexed="64"/>
          <bgColor rgb="FFC8C8C8"/>
        </patternFill>
      </fill>
    </dxf>
    <dxf>
      <numFmt numFmtId="164" formatCode="dd\.mm\.yyyy"/>
    </dxf>
    <dxf>
      <numFmt numFmtId="164" formatCode="dd\.mm\.yyyy"/>
    </dxf>
    <dxf>
      <font>
        <b/>
        <i val="0"/>
        <strike val="0"/>
        <condense val="0"/>
        <extend val="0"/>
        <outline val="0"/>
        <shadow val="0"/>
        <u val="none"/>
        <vertAlign val="baseline"/>
        <sz val="11"/>
        <color theme="1"/>
        <name val="Calibri"/>
        <family val="2"/>
        <scheme val="minor"/>
      </font>
      <fill>
        <patternFill patternType="solid">
          <fgColor indexed="64"/>
          <bgColor rgb="FFB4C6E7"/>
        </patternFill>
      </fill>
    </dxf>
    <dxf>
      <font>
        <b/>
        <i val="0"/>
        <strike val="0"/>
        <condense val="0"/>
        <extend val="0"/>
        <outline val="0"/>
        <shadow val="0"/>
        <u val="none"/>
        <vertAlign val="baseline"/>
        <sz val="11"/>
        <color theme="1"/>
        <name val="Calibri"/>
        <family val="2"/>
        <scheme val="minor"/>
      </font>
      <fill>
        <patternFill patternType="solid">
          <fgColor indexed="64"/>
          <bgColor rgb="FFC8C8C8"/>
        </patternFill>
      </fill>
    </dxf>
    <dxf>
      <numFmt numFmtId="164" formatCode="dd\.mm\.yyyy"/>
    </dxf>
    <dxf>
      <numFmt numFmtId="164" formatCode="dd\.mm\.yyyy"/>
    </dxf>
    <dxf>
      <alignment horizontal="center" vertical="bottom" textRotation="0" wrapText="0" indent="0" justifyLastLine="0" shrinkToFit="0" readingOrder="0"/>
    </dxf>
    <dxf>
      <font>
        <b/>
        <i val="0"/>
        <strike val="0"/>
        <condense val="0"/>
        <extend val="0"/>
        <outline val="0"/>
        <shadow val="0"/>
        <u val="none"/>
        <vertAlign val="baseline"/>
        <sz val="11"/>
        <color rgb="FF000000"/>
        <name val="Calibri"/>
        <family val="2"/>
        <scheme val="minor"/>
      </font>
      <fill>
        <patternFill patternType="solid">
          <fgColor indexed="64"/>
          <bgColor rgb="FFB4C6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784860</xdr:colOff>
          <xdr:row>2</xdr:row>
          <xdr:rowOff>175260</xdr:rowOff>
        </xdr:from>
        <xdr:to>
          <xdr:col>4</xdr:col>
          <xdr:colOff>7620</xdr:colOff>
          <xdr:row>5</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Admin_Starte_A_Einrichten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784860</xdr:colOff>
          <xdr:row>9</xdr:row>
          <xdr:rowOff>0</xdr:rowOff>
        </xdr:from>
        <xdr:to>
          <xdr:col>4</xdr:col>
          <xdr:colOff>7620</xdr:colOff>
          <xdr:row>11</xdr:row>
          <xdr:rowOff>7620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Admin_Starte_C_Formatierung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784860</xdr:colOff>
          <xdr:row>5</xdr:row>
          <xdr:rowOff>167640</xdr:rowOff>
        </xdr:from>
        <xdr:to>
          <xdr:col>4</xdr:col>
          <xdr:colOff>7620</xdr:colOff>
          <xdr:row>7</xdr:row>
          <xdr:rowOff>175260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Admin_Starte_B_Monatssetup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784860</xdr:colOff>
          <xdr:row>12</xdr:row>
          <xdr:rowOff>0</xdr:rowOff>
        </xdr:from>
        <xdr:to>
          <xdr:col>4</xdr:col>
          <xdr:colOff>7620</xdr:colOff>
          <xdr:row>14</xdr:row>
          <xdr:rowOff>7620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Admin_Starte_D_BAOIntegration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784860</xdr:colOff>
          <xdr:row>15</xdr:row>
          <xdr:rowOff>7620</xdr:rowOff>
        </xdr:from>
        <xdr:to>
          <xdr:col>4</xdr:col>
          <xdr:colOff>7620</xdr:colOff>
          <xdr:row>17</xdr:row>
          <xdr:rowOff>15240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Admin_Starte_F_PersonenTools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784860</xdr:colOff>
          <xdr:row>18</xdr:row>
          <xdr:rowOff>7620</xdr:rowOff>
        </xdr:from>
        <xdr:to>
          <xdr:col>4</xdr:col>
          <xdr:colOff>7620</xdr:colOff>
          <xdr:row>20</xdr:row>
          <xdr:rowOff>15240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Admin_Starte_ALLES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13D2D77-E674-4708-97BA-50FC14F44A21}" name="tbl_BAO" displayName="tbl_BAO" ref="A1:G3" totalsRowShown="0" headerRowDxfId="12">
  <autoFilter ref="A1:G3" xr:uid="{913D2D77-E674-4708-97BA-50FC14F44A21}"/>
  <tableColumns count="7">
    <tableColumn id="1" xr3:uid="{09AADD6C-BC62-4ABD-9AD3-0B437DD10694}" name="KW" dataDxfId="11">
      <calculatedColumnFormula>WEEKNUM(tbl_BAO[[#This Row],[Beginn]],21)</calculatedColumnFormula>
    </tableColumn>
    <tableColumn id="2" xr3:uid="{7102D0EC-B56F-4381-9D78-1BB4F75E94C1}" name="Beginn" dataDxfId="10"/>
    <tableColumn id="3" xr3:uid="{F5742ECD-32AE-4849-BEDA-4B6BEBE3B3A5}" name="Ende" dataDxfId="9"/>
    <tableColumn id="4" xr3:uid="{1E732669-AE2A-4465-B460-3789BE8C3D04}" name="Urlaubssperre"/>
    <tableColumn id="5" xr3:uid="{AC938774-C9DC-4891-A04B-D8025B6BEFA1}" name="EA/F Technik"/>
    <tableColumn id="6" xr3:uid="{8B71634C-A90A-4DFB-83C3-9ADD55F4FE71}" name="BAO DV"/>
    <tableColumn id="7" xr3:uid="{030461B4-E650-466E-90C6-3EC3EEF53A7A}" name="BAO Fu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84205BC-F963-47E0-BAFD-962EFF0EF463}" name="tbl_Personen" displayName="tbl_Personen" ref="A1:J14" totalsRowShown="0" headerRowDxfId="8">
  <autoFilter ref="A1:J14" xr:uid="{A84205BC-F963-47E0-BAFD-962EFF0EF463}"/>
  <tableColumns count="10">
    <tableColumn id="1" xr3:uid="{A953F118-60B0-40F8-A422-C5437CFC8918}" name="Gruppierung"/>
    <tableColumn id="2" xr3:uid="{4EC8E5C4-13E5-4AFD-99C5-DE95B2CF1541}" name="Sortierung"/>
    <tableColumn id="3" xr3:uid="{75560A13-6276-4127-890F-6CEFBF46E913}" name="Teamname"/>
    <tableColumn id="4" xr3:uid="{D0C0A5A9-2D7F-438A-9970-771A7471B3B1}" name="Vorname"/>
    <tableColumn id="5" xr3:uid="{71C14C83-1235-415C-B373-32E9782B1BE8}" name="Nachname"/>
    <tableColumn id="6" xr3:uid="{FB41C533-2EE2-401A-B226-26C2DE704B96}" name="Kürzel"/>
    <tableColumn id="7" xr3:uid="{19D1E5E2-A809-4703-AE94-39699AD28FF4}" name="Funktion"/>
    <tableColumn id="8" xr3:uid="{B827956F-3E29-4CE1-BE78-DDA6FD92784F}" name="Aktiv"/>
    <tableColumn id="9" xr3:uid="{55AA2EF2-402A-4544-A650-73B343DFAB2E}" name="BAO_Team"/>
    <tableColumn id="10" xr3:uid="{A57F5509-F725-464C-B7D8-D1176B4D6B79}" name="Vollname">
      <calculatedColumnFormula>D2&amp;" "&amp;E2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6056A73-85D1-49B1-9F1D-5B996CF42FEC}" name="tbl_MVL" displayName="tbl_MVL" ref="B5:D17" totalsRowShown="0" headerRowDxfId="7">
  <autoFilter ref="B5:D17" xr:uid="{06056A73-85D1-49B1-9F1D-5B996CF42FEC}"/>
  <tableColumns count="3">
    <tableColumn id="1" xr3:uid="{E39E08B8-E24B-4B65-87BA-77A84BE25CEE}" name="KW"/>
    <tableColumn id="2" xr3:uid="{687FC99A-3908-4410-85AB-0C8DF382B773}" name="Beginn" dataDxfId="6"/>
    <tableColumn id="3" xr3:uid="{2BA39AA0-17AA-4AEC-B40B-B4C60C4B58AD}" name="Ende"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B3332D0-AF0D-4792-8505-E32D59D90D4C}" name="tbl_Feiertage" displayName="tbl_Feiertage" ref="A1:C12" totalsRowShown="0" headerRowDxfId="4">
  <autoFilter ref="A1:C12" xr:uid="{9B3332D0-AF0D-4792-8505-E32D59D90D4C}"/>
  <sortState xmlns:xlrd2="http://schemas.microsoft.com/office/spreadsheetml/2017/richdata2" ref="A2:C12">
    <sortCondition ref="B2:B12"/>
  </sortState>
  <tableColumns count="3">
    <tableColumn id="1" xr3:uid="{4BD9E9FA-2F8B-4A8C-A50B-7258EDAC213B}" name="Feiertag"/>
    <tableColumn id="2" xr3:uid="{17301D0D-2E63-4E80-A786-FDAA8F132B3C}" name="Datum" dataDxfId="3"/>
    <tableColumn id="3" xr3:uid="{B6FF8538-AD48-4424-B4C3-26653C9C1270}" name="Bundeslan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A34057-FCBD-4CAC-B015-04F33D54A5ED}" name="tbl_Ferien" displayName="tbl_Ferien" ref="A1:E5" totalsRowShown="0" headerRowDxfId="2">
  <autoFilter ref="A1:E5" xr:uid="{BDA34057-FCBD-4CAC-B015-04F33D54A5ED}"/>
  <sortState xmlns:xlrd2="http://schemas.microsoft.com/office/spreadsheetml/2017/richdata2" ref="A2:E5">
    <sortCondition ref="B2:B5"/>
  </sortState>
  <tableColumns count="5">
    <tableColumn id="1" xr3:uid="{FCDAAB03-AC5F-4114-B93F-E90BC705E9E6}" name="Ferienart"/>
    <tableColumn id="2" xr3:uid="{5B403252-53A4-4349-AE9E-A7801DE6CDB6}" name="Beginn" dataDxfId="1"/>
    <tableColumn id="3" xr3:uid="{7484645C-A987-4DF3-A06E-BDC0D621F595}" name="Ende" dataDxfId="0"/>
    <tableColumn id="4" xr3:uid="{7AC3F2C0-5A3D-4B8F-9E23-781AC1FCFCE3}" name="Bundesland"/>
    <tableColumn id="5" xr3:uid="{4A7F4E30-80A1-4F30-8CAB-219A2C0B6A42}" name="Hinweis"/>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791A-8443-4D8A-8799-C51893CE74BA}">
  <sheetPr codeName="Tabelle1"/>
  <dimension ref="A1"/>
  <sheetViews>
    <sheetView showGridLines="0" workbookViewId="0">
      <selection activeCell="K11" sqref="K11"/>
    </sheetView>
  </sheetViews>
  <sheetFormatPr baseColWidth="10" defaultRowHeight="14.4" x14ac:dyDescent="0.3"/>
  <cols>
    <col min="1" max="1" width="2.77734375" customWidth="1"/>
    <col min="2" max="2" width="6.77734375" customWidth="1"/>
    <col min="3" max="3" width="16.77734375" customWidth="1"/>
    <col min="4" max="67" width="4.33203125" customWidth="1"/>
  </cols>
  <sheetData>
    <row r="1" spans="1:1" ht="21" x14ac:dyDescent="0.4">
      <c r="A1" s="1" t="s">
        <v>71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min_Starte_A_Einrichten">
                <anchor moveWithCells="1" sizeWithCells="1">
                  <from>
                    <xdr:col>0</xdr:col>
                    <xdr:colOff>784860</xdr:colOff>
                    <xdr:row>2</xdr:row>
                    <xdr:rowOff>175260</xdr:rowOff>
                  </from>
                  <to>
                    <xdr:col>4</xdr:col>
                    <xdr:colOff>7620</xdr:colOff>
                    <xdr:row>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Admin_Starte_C_Formatierung">
                <anchor moveWithCells="1" sizeWithCells="1">
                  <from>
                    <xdr:col>0</xdr:col>
                    <xdr:colOff>784860</xdr:colOff>
                    <xdr:row>9</xdr:row>
                    <xdr:rowOff>0</xdr:rowOff>
                  </from>
                  <to>
                    <xdr:col>4</xdr:col>
                    <xdr:colOff>7620</xdr:colOff>
                    <xdr:row>11</xdr:row>
                    <xdr:rowOff>7620</xdr:rowOff>
                  </to>
                </anchor>
              </controlPr>
            </control>
          </mc:Choice>
        </mc:AlternateContent>
        <mc:AlternateContent xmlns:mc="http://schemas.openxmlformats.org/markup-compatibility/2006">
          <mc:Choice Requires="x14">
            <control shapeId="10244" r:id="rId6" name="Button 4">
              <controlPr defaultSize="0" print="0" autoFill="0" autoPict="0" macro="[0]!Admin_Starte_B_Monatssetup">
                <anchor moveWithCells="1" sizeWithCells="1">
                  <from>
                    <xdr:col>0</xdr:col>
                    <xdr:colOff>784860</xdr:colOff>
                    <xdr:row>5</xdr:row>
                    <xdr:rowOff>167640</xdr:rowOff>
                  </from>
                  <to>
                    <xdr:col>4</xdr:col>
                    <xdr:colOff>7620</xdr:colOff>
                    <xdr:row>7</xdr:row>
                    <xdr:rowOff>175260</xdr:rowOff>
                  </to>
                </anchor>
              </controlPr>
            </control>
          </mc:Choice>
        </mc:AlternateContent>
        <mc:AlternateContent xmlns:mc="http://schemas.openxmlformats.org/markup-compatibility/2006">
          <mc:Choice Requires="x14">
            <control shapeId="10245" r:id="rId7" name="Button 5">
              <controlPr defaultSize="0" print="0" autoFill="0" autoPict="0" macro="[0]!Admin_Starte_D_BAOIntegration">
                <anchor moveWithCells="1" sizeWithCells="1">
                  <from>
                    <xdr:col>0</xdr:col>
                    <xdr:colOff>784860</xdr:colOff>
                    <xdr:row>12</xdr:row>
                    <xdr:rowOff>0</xdr:rowOff>
                  </from>
                  <to>
                    <xdr:col>4</xdr:col>
                    <xdr:colOff>7620</xdr:colOff>
                    <xdr:row>14</xdr:row>
                    <xdr:rowOff>7620</xdr:rowOff>
                  </to>
                </anchor>
              </controlPr>
            </control>
          </mc:Choice>
        </mc:AlternateContent>
        <mc:AlternateContent xmlns:mc="http://schemas.openxmlformats.org/markup-compatibility/2006">
          <mc:Choice Requires="x14">
            <control shapeId="10246" r:id="rId8" name="Button 6">
              <controlPr defaultSize="0" print="0" autoFill="0" autoPict="0" macro="[0]!F01_PersonenAktualisierenAktiv">
                <anchor moveWithCells="1" sizeWithCells="1">
                  <from>
                    <xdr:col>0</xdr:col>
                    <xdr:colOff>784860</xdr:colOff>
                    <xdr:row>15</xdr:row>
                    <xdr:rowOff>7620</xdr:rowOff>
                  </from>
                  <to>
                    <xdr:col>4</xdr:col>
                    <xdr:colOff>7620</xdr:colOff>
                    <xdr:row>17</xdr:row>
                    <xdr:rowOff>15240</xdr:rowOff>
                  </to>
                </anchor>
              </controlPr>
            </control>
          </mc:Choice>
        </mc:AlternateContent>
        <mc:AlternateContent xmlns:mc="http://schemas.openxmlformats.org/markup-compatibility/2006">
          <mc:Choice Requires="x14">
            <control shapeId="10247" r:id="rId9" name="Button 7">
              <controlPr defaultSize="0" print="0" autoFill="0" autoPict="0" macro="[0]!Admin_Starte_ALLES">
                <anchor moveWithCells="1" sizeWithCells="1">
                  <from>
                    <xdr:col>0</xdr:col>
                    <xdr:colOff>784860</xdr:colOff>
                    <xdr:row>18</xdr:row>
                    <xdr:rowOff>7620</xdr:rowOff>
                  </from>
                  <to>
                    <xdr:col>4</xdr:col>
                    <xdr:colOff>7620</xdr:colOff>
                    <xdr:row>20</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0F35B-CF11-451C-9D8C-8339E41C60E0}">
  <sheetPr codeName="Tabelle111"/>
  <dimension ref="A1:C25"/>
  <sheetViews>
    <sheetView workbookViewId="0"/>
  </sheetViews>
  <sheetFormatPr baseColWidth="10" defaultRowHeight="14.4" x14ac:dyDescent="0.3"/>
  <cols>
    <col min="1" max="3" width="36.77734375" customWidth="1"/>
  </cols>
  <sheetData>
    <row r="1" spans="1:3" ht="21" x14ac:dyDescent="0.4">
      <c r="A1" s="1" t="s">
        <v>72</v>
      </c>
    </row>
    <row r="3" spans="1:3" x14ac:dyDescent="0.3">
      <c r="A3" s="2" t="s">
        <v>74</v>
      </c>
    </row>
    <row r="5" spans="1:3" x14ac:dyDescent="0.3">
      <c r="A5" t="s">
        <v>75</v>
      </c>
      <c r="B5" s="14">
        <v>45893.709108796298</v>
      </c>
    </row>
    <row r="7" spans="1:3" x14ac:dyDescent="0.3">
      <c r="A7" t="s">
        <v>76</v>
      </c>
      <c r="B7" t="s">
        <v>77</v>
      </c>
    </row>
    <row r="9" spans="1:3" x14ac:dyDescent="0.3">
      <c r="A9" s="2" t="s">
        <v>78</v>
      </c>
    </row>
    <row r="10" spans="1:3" x14ac:dyDescent="0.3">
      <c r="A10" s="15"/>
      <c r="B10" s="15"/>
      <c r="C10" s="15"/>
    </row>
    <row r="11" spans="1:3" x14ac:dyDescent="0.3">
      <c r="A11" s="15"/>
      <c r="B11" s="15"/>
      <c r="C11" s="15"/>
    </row>
    <row r="12" spans="1:3" x14ac:dyDescent="0.3">
      <c r="A12" s="15"/>
      <c r="B12" s="15"/>
      <c r="C12" s="15"/>
    </row>
    <row r="13" spans="1:3" x14ac:dyDescent="0.3">
      <c r="A13" s="15"/>
      <c r="B13" s="15"/>
      <c r="C13" s="15"/>
    </row>
    <row r="14" spans="1:3" x14ac:dyDescent="0.3">
      <c r="A14" s="15"/>
      <c r="B14" s="15"/>
      <c r="C14" s="15"/>
    </row>
    <row r="15" spans="1:3" x14ac:dyDescent="0.3">
      <c r="A15" s="15"/>
      <c r="B15" s="15"/>
      <c r="C15" s="15"/>
    </row>
    <row r="16" spans="1:3" x14ac:dyDescent="0.3">
      <c r="A16" s="15"/>
      <c r="B16" s="15"/>
      <c r="C16" s="15"/>
    </row>
    <row r="17" spans="1:3" x14ac:dyDescent="0.3">
      <c r="A17" s="15"/>
      <c r="B17" s="15"/>
      <c r="C17" s="15"/>
    </row>
    <row r="18" spans="1:3" x14ac:dyDescent="0.3">
      <c r="A18" s="15"/>
      <c r="B18" s="15"/>
      <c r="C18" s="15"/>
    </row>
    <row r="19" spans="1:3" x14ac:dyDescent="0.3">
      <c r="A19" s="15"/>
      <c r="B19" s="15"/>
      <c r="C19" s="15"/>
    </row>
    <row r="20" spans="1:3" x14ac:dyDescent="0.3">
      <c r="A20" s="15"/>
      <c r="B20" s="15"/>
      <c r="C20" s="15"/>
    </row>
    <row r="21" spans="1:3" x14ac:dyDescent="0.3">
      <c r="A21" s="15"/>
      <c r="B21" s="15"/>
      <c r="C21" s="15"/>
    </row>
    <row r="22" spans="1:3" x14ac:dyDescent="0.3">
      <c r="A22" s="15"/>
      <c r="B22" s="15"/>
      <c r="C22" s="15"/>
    </row>
    <row r="23" spans="1:3" x14ac:dyDescent="0.3">
      <c r="A23" s="15"/>
      <c r="B23" s="15"/>
      <c r="C23" s="15"/>
    </row>
    <row r="24" spans="1:3" x14ac:dyDescent="0.3">
      <c r="A24" s="15"/>
      <c r="B24" s="15"/>
      <c r="C24" s="15"/>
    </row>
    <row r="25" spans="1:3" x14ac:dyDescent="0.3">
      <c r="A25" s="15"/>
      <c r="B25" s="15"/>
      <c r="C25" s="15"/>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536FD-37EE-41FF-BD09-A1C392F7CA10}">
  <sheetPr codeName="Tabelle2"/>
  <dimension ref="A1:B10"/>
  <sheetViews>
    <sheetView workbookViewId="0"/>
  </sheetViews>
  <sheetFormatPr baseColWidth="10" defaultRowHeight="14.4" x14ac:dyDescent="0.3"/>
  <cols>
    <col min="1" max="1" width="23.77734375" bestFit="1" customWidth="1"/>
    <col min="2" max="2" width="28.109375" bestFit="1" customWidth="1"/>
  </cols>
  <sheetData>
    <row r="1" spans="1:2" ht="21" x14ac:dyDescent="0.4">
      <c r="A1" s="1" t="s">
        <v>73</v>
      </c>
    </row>
    <row r="3" spans="1:2" x14ac:dyDescent="0.3">
      <c r="A3" s="2" t="s">
        <v>101</v>
      </c>
    </row>
    <row r="5" spans="1:2" x14ac:dyDescent="0.3">
      <c r="A5" t="s">
        <v>102</v>
      </c>
      <c r="B5" t="s">
        <v>103</v>
      </c>
    </row>
    <row r="6" spans="1:2" x14ac:dyDescent="0.3">
      <c r="A6" t="s">
        <v>104</v>
      </c>
      <c r="B6" t="s">
        <v>105</v>
      </c>
    </row>
    <row r="7" spans="1:2" x14ac:dyDescent="0.3">
      <c r="A7" t="s">
        <v>106</v>
      </c>
      <c r="B7" t="s">
        <v>107</v>
      </c>
    </row>
    <row r="8" spans="1:2" x14ac:dyDescent="0.3">
      <c r="A8" t="s">
        <v>108</v>
      </c>
      <c r="B8" t="s">
        <v>109</v>
      </c>
    </row>
    <row r="9" spans="1:2" x14ac:dyDescent="0.3">
      <c r="A9" t="s">
        <v>110</v>
      </c>
      <c r="B9" t="s">
        <v>111</v>
      </c>
    </row>
    <row r="10" spans="1:2" x14ac:dyDescent="0.3">
      <c r="A10" t="s">
        <v>112</v>
      </c>
      <c r="B10" t="s">
        <v>113</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F35DD-9A6A-4EA6-B56A-847421E2D65E}">
  <sheetPr codeName="Tabelle3"/>
  <dimension ref="A1:C10"/>
  <sheetViews>
    <sheetView workbookViewId="0"/>
  </sheetViews>
  <sheetFormatPr baseColWidth="10" defaultRowHeight="14.4" x14ac:dyDescent="0.3"/>
  <cols>
    <col min="1" max="1" width="40.77734375" customWidth="1"/>
    <col min="2" max="2" width="12.77734375" customWidth="1"/>
    <col min="3" max="3" width="28.77734375" customWidth="1"/>
  </cols>
  <sheetData>
    <row r="1" spans="1:3" ht="21" x14ac:dyDescent="0.4">
      <c r="A1" s="1" t="s">
        <v>0</v>
      </c>
    </row>
    <row r="2" spans="1:3" x14ac:dyDescent="0.3">
      <c r="B2" t="s">
        <v>1</v>
      </c>
      <c r="C2" s="2">
        <v>2025</v>
      </c>
    </row>
    <row r="3" spans="1:3" x14ac:dyDescent="0.3">
      <c r="B3" t="s">
        <v>91</v>
      </c>
      <c r="C3" t="s">
        <v>92</v>
      </c>
    </row>
    <row r="4" spans="1:3" ht="18" x14ac:dyDescent="0.35">
      <c r="A4" s="3" t="s">
        <v>2</v>
      </c>
      <c r="B4" t="s">
        <v>93</v>
      </c>
      <c r="C4" t="s">
        <v>94</v>
      </c>
    </row>
    <row r="6" spans="1:3" x14ac:dyDescent="0.3">
      <c r="A6" t="s">
        <v>95</v>
      </c>
    </row>
    <row r="7" spans="1:3" x14ac:dyDescent="0.3">
      <c r="A7" t="s">
        <v>96</v>
      </c>
    </row>
    <row r="8" spans="1:3" x14ac:dyDescent="0.3">
      <c r="A8" t="s">
        <v>97</v>
      </c>
    </row>
    <row r="9" spans="1:3" x14ac:dyDescent="0.3">
      <c r="A9" t="s">
        <v>98</v>
      </c>
    </row>
    <row r="10" spans="1:3" x14ac:dyDescent="0.3">
      <c r="A10" t="s">
        <v>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BA35-4AE4-4B63-8C40-1D2AA05C4F3D}">
  <sheetPr codeName="Tabelle4"/>
  <dimension ref="A1:G3"/>
  <sheetViews>
    <sheetView workbookViewId="0"/>
  </sheetViews>
  <sheetFormatPr baseColWidth="10" defaultRowHeight="14.4" x14ac:dyDescent="0.3"/>
  <cols>
    <col min="1" max="1" width="8.77734375" customWidth="1"/>
    <col min="2" max="3" width="12.77734375" customWidth="1"/>
    <col min="4" max="5" width="15.77734375" customWidth="1"/>
    <col min="6" max="7" width="12.77734375" customWidth="1"/>
  </cols>
  <sheetData>
    <row r="1" spans="1:7" x14ac:dyDescent="0.3">
      <c r="A1" s="9" t="s">
        <v>67</v>
      </c>
      <c r="B1" s="9" t="s">
        <v>17</v>
      </c>
      <c r="C1" s="9" t="s">
        <v>18</v>
      </c>
      <c r="D1" s="9" t="s">
        <v>68</v>
      </c>
      <c r="E1" s="9" t="s">
        <v>69</v>
      </c>
      <c r="F1" s="9" t="s">
        <v>51</v>
      </c>
      <c r="G1" s="9" t="s">
        <v>70</v>
      </c>
    </row>
    <row r="2" spans="1:7" x14ac:dyDescent="0.3">
      <c r="A2" s="10">
        <f>WEEKNUM(tbl_BAO[[#This Row],[Beginn]],21)</f>
        <v>1</v>
      </c>
      <c r="B2" s="5">
        <v>45292</v>
      </c>
      <c r="C2" s="5">
        <v>45292</v>
      </c>
      <c r="D2" t="s">
        <v>5</v>
      </c>
      <c r="E2" t="s">
        <v>5</v>
      </c>
      <c r="F2" t="s">
        <v>5</v>
      </c>
      <c r="G2" t="s">
        <v>5</v>
      </c>
    </row>
    <row r="3" spans="1:7" x14ac:dyDescent="0.3">
      <c r="A3" s="10">
        <f>WEEKNUM(tbl_BAO[[#This Row],[Beginn]],21)</f>
        <v>1</v>
      </c>
      <c r="B3" s="5">
        <v>45658</v>
      </c>
      <c r="C3" s="5">
        <v>45658</v>
      </c>
      <c r="D3" t="s">
        <v>5</v>
      </c>
      <c r="E3" t="s">
        <v>5</v>
      </c>
      <c r="F3" t="s">
        <v>5</v>
      </c>
      <c r="G3" t="s">
        <v>5</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4A912-1706-4A0C-8F58-12B41BE7AE11}">
  <sheetPr codeName="Tabelle5"/>
  <dimension ref="A1:J14"/>
  <sheetViews>
    <sheetView workbookViewId="0"/>
  </sheetViews>
  <sheetFormatPr baseColWidth="10" defaultRowHeight="14.4" x14ac:dyDescent="0.3"/>
  <cols>
    <col min="1" max="2" width="8.77734375" customWidth="1"/>
    <col min="3" max="5" width="12.77734375" customWidth="1"/>
    <col min="6" max="6" width="6.77734375" customWidth="1"/>
    <col min="7" max="7" width="15.77734375" customWidth="1"/>
    <col min="8" max="8" width="6.77734375" customWidth="1"/>
    <col min="9" max="9" width="15.77734375" customWidth="1"/>
    <col min="10" max="10" width="20.77734375" customWidth="1"/>
  </cols>
  <sheetData>
    <row r="1" spans="1:10" x14ac:dyDescent="0.3">
      <c r="A1" s="4" t="s">
        <v>23</v>
      </c>
      <c r="B1" s="4" t="s">
        <v>24</v>
      </c>
      <c r="C1" s="4" t="s">
        <v>25</v>
      </c>
      <c r="D1" s="4" t="s">
        <v>26</v>
      </c>
      <c r="E1" s="4" t="s">
        <v>27</v>
      </c>
      <c r="F1" s="4" t="s">
        <v>28</v>
      </c>
      <c r="G1" s="4" t="s">
        <v>29</v>
      </c>
      <c r="H1" s="4" t="s">
        <v>30</v>
      </c>
      <c r="I1" s="4" t="s">
        <v>31</v>
      </c>
      <c r="J1" s="4" t="s">
        <v>32</v>
      </c>
    </row>
    <row r="2" spans="1:10" x14ac:dyDescent="0.3">
      <c r="A2">
        <v>1</v>
      </c>
      <c r="B2" t="s">
        <v>33</v>
      </c>
      <c r="C2" t="s">
        <v>34</v>
      </c>
      <c r="D2" t="s">
        <v>35</v>
      </c>
      <c r="E2" t="s">
        <v>36</v>
      </c>
      <c r="F2" t="s">
        <v>37</v>
      </c>
      <c r="G2" t="s">
        <v>38</v>
      </c>
      <c r="H2" t="s">
        <v>39</v>
      </c>
      <c r="I2" t="s">
        <v>40</v>
      </c>
      <c r="J2" t="str">
        <f t="shared" ref="J2:J14" si="0">D2&amp;" "&amp;E2</f>
        <v>Max Mustermann</v>
      </c>
    </row>
    <row r="3" spans="1:10" x14ac:dyDescent="0.3">
      <c r="A3">
        <v>1</v>
      </c>
      <c r="B3" t="s">
        <v>41</v>
      </c>
      <c r="C3" t="s">
        <v>34</v>
      </c>
      <c r="D3" t="s">
        <v>42</v>
      </c>
      <c r="E3" t="s">
        <v>43</v>
      </c>
      <c r="F3" t="s">
        <v>44</v>
      </c>
      <c r="G3" t="s">
        <v>45</v>
      </c>
      <c r="H3" t="s">
        <v>39</v>
      </c>
      <c r="I3" t="s">
        <v>40</v>
      </c>
      <c r="J3" t="str">
        <f t="shared" si="0"/>
        <v>Anna Beispiel</v>
      </c>
    </row>
    <row r="4" spans="1:10" x14ac:dyDescent="0.3">
      <c r="A4">
        <v>2</v>
      </c>
      <c r="B4" t="s">
        <v>33</v>
      </c>
      <c r="C4" t="s">
        <v>46</v>
      </c>
      <c r="D4" t="s">
        <v>47</v>
      </c>
      <c r="E4" t="s">
        <v>48</v>
      </c>
      <c r="F4" t="s">
        <v>49</v>
      </c>
      <c r="G4" t="s">
        <v>50</v>
      </c>
      <c r="H4" t="s">
        <v>39</v>
      </c>
      <c r="J4" t="str">
        <f t="shared" si="0"/>
        <v>Peter Test1</v>
      </c>
    </row>
    <row r="5" spans="1:10" x14ac:dyDescent="0.3">
      <c r="A5">
        <v>2</v>
      </c>
      <c r="B5" t="s">
        <v>41</v>
      </c>
      <c r="C5" t="s">
        <v>46</v>
      </c>
      <c r="D5" t="s">
        <v>47</v>
      </c>
      <c r="E5" t="s">
        <v>52</v>
      </c>
      <c r="F5" t="s">
        <v>49</v>
      </c>
      <c r="G5" t="s">
        <v>50</v>
      </c>
      <c r="H5" t="s">
        <v>39</v>
      </c>
      <c r="J5" t="str">
        <f t="shared" si="0"/>
        <v>Peter Test2</v>
      </c>
    </row>
    <row r="6" spans="1:10" x14ac:dyDescent="0.3">
      <c r="A6">
        <v>3</v>
      </c>
      <c r="B6" t="s">
        <v>33</v>
      </c>
      <c r="C6" t="s">
        <v>53</v>
      </c>
      <c r="D6" t="s">
        <v>47</v>
      </c>
      <c r="E6" t="s">
        <v>54</v>
      </c>
      <c r="F6" t="s">
        <v>49</v>
      </c>
      <c r="G6" t="s">
        <v>55</v>
      </c>
      <c r="H6" t="s">
        <v>39</v>
      </c>
      <c r="I6" t="s">
        <v>51</v>
      </c>
      <c r="J6" t="str">
        <f t="shared" si="0"/>
        <v>Peter Test3</v>
      </c>
    </row>
    <row r="7" spans="1:10" x14ac:dyDescent="0.3">
      <c r="A7">
        <v>3</v>
      </c>
      <c r="B7" t="s">
        <v>41</v>
      </c>
      <c r="C7" t="s">
        <v>53</v>
      </c>
      <c r="D7" t="s">
        <v>47</v>
      </c>
      <c r="E7" t="s">
        <v>56</v>
      </c>
      <c r="F7" t="s">
        <v>49</v>
      </c>
      <c r="G7" t="s">
        <v>55</v>
      </c>
      <c r="H7" t="s">
        <v>39</v>
      </c>
      <c r="I7" t="s">
        <v>51</v>
      </c>
      <c r="J7" t="str">
        <f t="shared" si="0"/>
        <v>Peter Test4</v>
      </c>
    </row>
    <row r="8" spans="1:10" x14ac:dyDescent="0.3">
      <c r="A8">
        <v>3</v>
      </c>
      <c r="B8" t="s">
        <v>57</v>
      </c>
      <c r="C8" t="s">
        <v>53</v>
      </c>
      <c r="D8" t="s">
        <v>47</v>
      </c>
      <c r="E8" t="s">
        <v>58</v>
      </c>
      <c r="F8" t="s">
        <v>49</v>
      </c>
      <c r="G8" t="s">
        <v>53</v>
      </c>
      <c r="H8" t="s">
        <v>39</v>
      </c>
      <c r="I8" t="s">
        <v>51</v>
      </c>
      <c r="J8" t="str">
        <f t="shared" si="0"/>
        <v>Peter Test5</v>
      </c>
    </row>
    <row r="9" spans="1:10" x14ac:dyDescent="0.3">
      <c r="A9">
        <v>4</v>
      </c>
      <c r="B9" t="s">
        <v>33</v>
      </c>
      <c r="C9" t="s">
        <v>59</v>
      </c>
      <c r="D9" t="s">
        <v>47</v>
      </c>
      <c r="E9" t="s">
        <v>60</v>
      </c>
      <c r="F9" t="s">
        <v>49</v>
      </c>
      <c r="G9" t="s">
        <v>59</v>
      </c>
      <c r="H9" t="s">
        <v>39</v>
      </c>
      <c r="I9" t="s">
        <v>61</v>
      </c>
      <c r="J9" t="str">
        <f t="shared" si="0"/>
        <v>Peter Test6</v>
      </c>
    </row>
    <row r="10" spans="1:10" x14ac:dyDescent="0.3">
      <c r="A10">
        <v>4</v>
      </c>
      <c r="B10" t="s">
        <v>41</v>
      </c>
      <c r="C10" t="s">
        <v>59</v>
      </c>
      <c r="D10" t="s">
        <v>47</v>
      </c>
      <c r="E10" t="s">
        <v>62</v>
      </c>
      <c r="F10" t="s">
        <v>49</v>
      </c>
      <c r="G10" t="s">
        <v>59</v>
      </c>
      <c r="H10" t="s">
        <v>39</v>
      </c>
      <c r="I10" t="s">
        <v>61</v>
      </c>
      <c r="J10" t="str">
        <f t="shared" si="0"/>
        <v>Peter Test7</v>
      </c>
    </row>
    <row r="11" spans="1:10" x14ac:dyDescent="0.3">
      <c r="A11">
        <v>5</v>
      </c>
      <c r="B11" t="s">
        <v>33</v>
      </c>
      <c r="C11" t="s">
        <v>63</v>
      </c>
      <c r="D11" t="s">
        <v>47</v>
      </c>
      <c r="E11" t="s">
        <v>64</v>
      </c>
      <c r="F11" t="s">
        <v>49</v>
      </c>
      <c r="G11" t="s">
        <v>63</v>
      </c>
      <c r="H11" t="s">
        <v>39</v>
      </c>
      <c r="J11" t="str">
        <f t="shared" si="0"/>
        <v>Peter Test8</v>
      </c>
    </row>
    <row r="12" spans="1:10" x14ac:dyDescent="0.3">
      <c r="A12">
        <v>6</v>
      </c>
      <c r="B12" t="s">
        <v>33</v>
      </c>
      <c r="C12" t="s">
        <v>84</v>
      </c>
      <c r="D12" t="s">
        <v>82</v>
      </c>
      <c r="E12" t="s">
        <v>82</v>
      </c>
      <c r="F12" t="s">
        <v>83</v>
      </c>
      <c r="G12" t="s">
        <v>87</v>
      </c>
      <c r="H12" t="s">
        <v>100</v>
      </c>
      <c r="I12" t="s">
        <v>65</v>
      </c>
      <c r="J12" t="str">
        <f t="shared" si="0"/>
        <v>Tom Tom</v>
      </c>
    </row>
    <row r="13" spans="1:10" x14ac:dyDescent="0.3">
      <c r="A13">
        <v>6</v>
      </c>
      <c r="B13" t="s">
        <v>41</v>
      </c>
      <c r="C13" t="s">
        <v>84</v>
      </c>
      <c r="D13" t="s">
        <v>85</v>
      </c>
      <c r="E13" t="s">
        <v>85</v>
      </c>
      <c r="F13" t="s">
        <v>86</v>
      </c>
      <c r="G13" t="s">
        <v>87</v>
      </c>
      <c r="H13" t="s">
        <v>100</v>
      </c>
      <c r="I13" t="s">
        <v>65</v>
      </c>
      <c r="J13" t="str">
        <f t="shared" si="0"/>
        <v>Fab Fab</v>
      </c>
    </row>
    <row r="14" spans="1:10" x14ac:dyDescent="0.3">
      <c r="A14">
        <v>6</v>
      </c>
      <c r="B14" t="s">
        <v>57</v>
      </c>
      <c r="C14" t="s">
        <v>84</v>
      </c>
      <c r="D14" t="s">
        <v>88</v>
      </c>
      <c r="E14" t="s">
        <v>88</v>
      </c>
      <c r="F14" t="s">
        <v>89</v>
      </c>
      <c r="G14" t="s">
        <v>87</v>
      </c>
      <c r="H14" t="s">
        <v>39</v>
      </c>
      <c r="I14" t="s">
        <v>65</v>
      </c>
      <c r="J14" t="str">
        <f t="shared" si="0"/>
        <v>Mel Mel</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BBD1B-4900-4A20-A799-68CD317DA4D3}">
  <sheetPr codeName="Tabelle6"/>
  <dimension ref="B1:D17"/>
  <sheetViews>
    <sheetView workbookViewId="0">
      <selection activeCell="C2" sqref="C2"/>
    </sheetView>
  </sheetViews>
  <sheetFormatPr baseColWidth="10" defaultRowHeight="14.4" x14ac:dyDescent="0.3"/>
  <cols>
    <col min="2" max="4" width="18.77734375" customWidth="1"/>
  </cols>
  <sheetData>
    <row r="1" spans="2:4" ht="15.6" x14ac:dyDescent="0.3">
      <c r="B1" s="6" t="s">
        <v>65</v>
      </c>
    </row>
    <row r="2" spans="2:4" x14ac:dyDescent="0.3">
      <c r="B2" s="7" t="s">
        <v>66</v>
      </c>
      <c r="C2" s="5">
        <v>45658</v>
      </c>
      <c r="D2">
        <v>35</v>
      </c>
    </row>
    <row r="3" spans="2:4" x14ac:dyDescent="0.3">
      <c r="D3" s="5">
        <v>41330</v>
      </c>
    </row>
    <row r="5" spans="2:4" x14ac:dyDescent="0.3">
      <c r="B5" s="8" t="s">
        <v>67</v>
      </c>
      <c r="C5" s="8" t="s">
        <v>17</v>
      </c>
      <c r="D5" s="8" t="s">
        <v>18</v>
      </c>
    </row>
    <row r="6" spans="2:4" x14ac:dyDescent="0.3">
      <c r="B6">
        <v>3</v>
      </c>
      <c r="C6" s="5">
        <v>45670</v>
      </c>
      <c r="D6" s="5">
        <v>45677</v>
      </c>
    </row>
    <row r="7" spans="2:4" x14ac:dyDescent="0.3">
      <c r="B7">
        <v>8</v>
      </c>
      <c r="C7" s="5">
        <v>45705</v>
      </c>
      <c r="D7" s="5">
        <v>45712</v>
      </c>
    </row>
    <row r="8" spans="2:4" x14ac:dyDescent="0.3">
      <c r="B8">
        <v>13</v>
      </c>
      <c r="C8" s="5">
        <v>45740</v>
      </c>
      <c r="D8" s="5">
        <v>45747</v>
      </c>
    </row>
    <row r="9" spans="2:4" x14ac:dyDescent="0.3">
      <c r="B9">
        <v>18</v>
      </c>
      <c r="C9" s="5">
        <v>45775</v>
      </c>
      <c r="D9" s="5">
        <v>45782</v>
      </c>
    </row>
    <row r="10" spans="2:4" x14ac:dyDescent="0.3">
      <c r="B10">
        <v>23</v>
      </c>
      <c r="C10" s="5">
        <v>45810</v>
      </c>
      <c r="D10" s="5">
        <v>45817</v>
      </c>
    </row>
    <row r="11" spans="2:4" x14ac:dyDescent="0.3">
      <c r="B11">
        <v>28</v>
      </c>
      <c r="C11" s="5">
        <v>45845</v>
      </c>
      <c r="D11" s="5">
        <v>45852</v>
      </c>
    </row>
    <row r="12" spans="2:4" x14ac:dyDescent="0.3">
      <c r="B12">
        <v>33</v>
      </c>
      <c r="C12" s="5">
        <v>45880</v>
      </c>
      <c r="D12" s="5">
        <v>45887</v>
      </c>
    </row>
    <row r="13" spans="2:4" x14ac:dyDescent="0.3">
      <c r="B13">
        <v>38</v>
      </c>
      <c r="C13" s="5">
        <v>45915</v>
      </c>
      <c r="D13" s="5">
        <v>45922</v>
      </c>
    </row>
    <row r="14" spans="2:4" x14ac:dyDescent="0.3">
      <c r="B14">
        <v>43</v>
      </c>
      <c r="C14" s="5">
        <v>45950</v>
      </c>
      <c r="D14" s="5">
        <v>45957</v>
      </c>
    </row>
    <row r="15" spans="2:4" x14ac:dyDescent="0.3">
      <c r="B15">
        <v>48</v>
      </c>
      <c r="C15" s="5">
        <v>45985</v>
      </c>
      <c r="D15" s="5">
        <v>45992</v>
      </c>
    </row>
    <row r="16" spans="2:4" x14ac:dyDescent="0.3">
      <c r="B16">
        <v>1</v>
      </c>
      <c r="C16" s="5">
        <v>46020</v>
      </c>
      <c r="D16" s="5">
        <v>46027</v>
      </c>
    </row>
    <row r="17" spans="2:4" x14ac:dyDescent="0.3">
      <c r="B17" s="5">
        <v>46055</v>
      </c>
      <c r="C17" s="5">
        <v>46055</v>
      </c>
      <c r="D17" s="5">
        <v>46062</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09E17-9EFB-46DA-8838-72958D3E0F4F}">
  <sheetPr codeName="Tabelle7"/>
  <dimension ref="A1:C12"/>
  <sheetViews>
    <sheetView workbookViewId="0">
      <selection activeCell="A2" sqref="A2:C12"/>
    </sheetView>
  </sheetViews>
  <sheetFormatPr baseColWidth="10" defaultRowHeight="14.4" x14ac:dyDescent="0.3"/>
  <cols>
    <col min="1" max="1" width="28.77734375" customWidth="1"/>
    <col min="2" max="2" width="15.77734375" customWidth="1"/>
    <col min="3" max="3" width="22.77734375" customWidth="1"/>
  </cols>
  <sheetData>
    <row r="1" spans="1:3" x14ac:dyDescent="0.3">
      <c r="A1" s="4" t="s">
        <v>3</v>
      </c>
      <c r="B1" s="4" t="s">
        <v>4</v>
      </c>
      <c r="C1" s="4" t="s">
        <v>79</v>
      </c>
    </row>
    <row r="2" spans="1:3" x14ac:dyDescent="0.3">
      <c r="A2" t="s">
        <v>5</v>
      </c>
      <c r="B2" s="5">
        <v>45658</v>
      </c>
      <c r="C2" t="s">
        <v>80</v>
      </c>
    </row>
    <row r="3" spans="1:3" x14ac:dyDescent="0.3">
      <c r="A3" t="s">
        <v>11</v>
      </c>
      <c r="B3" s="5">
        <v>45765</v>
      </c>
      <c r="C3" t="s">
        <v>80</v>
      </c>
    </row>
    <row r="4" spans="1:3" x14ac:dyDescent="0.3">
      <c r="A4" t="s">
        <v>12</v>
      </c>
      <c r="B4" s="5">
        <v>45768</v>
      </c>
      <c r="C4" t="s">
        <v>80</v>
      </c>
    </row>
    <row r="5" spans="1:3" x14ac:dyDescent="0.3">
      <c r="A5" t="s">
        <v>6</v>
      </c>
      <c r="B5" s="5">
        <v>45778</v>
      </c>
      <c r="C5" t="s">
        <v>80</v>
      </c>
    </row>
    <row r="6" spans="1:3" x14ac:dyDescent="0.3">
      <c r="A6" t="s">
        <v>13</v>
      </c>
      <c r="B6" s="5">
        <v>45806</v>
      </c>
      <c r="C6" t="s">
        <v>80</v>
      </c>
    </row>
    <row r="7" spans="1:3" x14ac:dyDescent="0.3">
      <c r="A7" t="s">
        <v>14</v>
      </c>
      <c r="B7" s="5">
        <v>45817</v>
      </c>
      <c r="C7" t="s">
        <v>80</v>
      </c>
    </row>
    <row r="8" spans="1:3" x14ac:dyDescent="0.3">
      <c r="A8" t="s">
        <v>15</v>
      </c>
      <c r="B8" s="5">
        <v>45827</v>
      </c>
      <c r="C8" t="s">
        <v>80</v>
      </c>
    </row>
    <row r="9" spans="1:3" x14ac:dyDescent="0.3">
      <c r="A9" t="s">
        <v>7</v>
      </c>
      <c r="B9" s="5">
        <v>45933</v>
      </c>
      <c r="C9" t="s">
        <v>80</v>
      </c>
    </row>
    <row r="10" spans="1:3" x14ac:dyDescent="0.3">
      <c r="A10" t="s">
        <v>8</v>
      </c>
      <c r="B10" s="5">
        <v>45962</v>
      </c>
      <c r="C10" t="s">
        <v>80</v>
      </c>
    </row>
    <row r="11" spans="1:3" x14ac:dyDescent="0.3">
      <c r="A11" t="s">
        <v>9</v>
      </c>
      <c r="B11" s="5">
        <v>46016</v>
      </c>
      <c r="C11" t="s">
        <v>80</v>
      </c>
    </row>
    <row r="12" spans="1:3" x14ac:dyDescent="0.3">
      <c r="A12" t="s">
        <v>10</v>
      </c>
      <c r="B12" s="5">
        <v>46017</v>
      </c>
      <c r="C12" t="s">
        <v>80</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A63CF-F015-4351-9314-A795A2255A72}">
  <sheetPr codeName="Tabelle8"/>
  <dimension ref="A1:E5"/>
  <sheetViews>
    <sheetView workbookViewId="0">
      <selection activeCell="A2" sqref="A2:E5"/>
    </sheetView>
  </sheetViews>
  <sheetFormatPr baseColWidth="10" defaultRowHeight="14.4" x14ac:dyDescent="0.3"/>
  <cols>
    <col min="1" max="1" width="22.77734375" customWidth="1"/>
    <col min="2" max="3" width="14.77734375" customWidth="1"/>
    <col min="4" max="4" width="12.77734375" customWidth="1"/>
    <col min="5" max="5" width="24.77734375" customWidth="1"/>
  </cols>
  <sheetData>
    <row r="1" spans="1:5" x14ac:dyDescent="0.3">
      <c r="A1" s="4" t="s">
        <v>16</v>
      </c>
      <c r="B1" s="4" t="s">
        <v>17</v>
      </c>
      <c r="C1" s="4" t="s">
        <v>18</v>
      </c>
      <c r="D1" s="4" t="s">
        <v>79</v>
      </c>
      <c r="E1" s="4" t="s">
        <v>81</v>
      </c>
    </row>
    <row r="2" spans="1:5" x14ac:dyDescent="0.3">
      <c r="A2" t="s">
        <v>19</v>
      </c>
      <c r="B2" s="5">
        <v>45761</v>
      </c>
      <c r="C2" s="5">
        <v>45772</v>
      </c>
      <c r="D2" t="s">
        <v>80</v>
      </c>
    </row>
    <row r="3" spans="1:5" x14ac:dyDescent="0.3">
      <c r="A3" t="s">
        <v>20</v>
      </c>
      <c r="B3" s="5">
        <v>45866</v>
      </c>
      <c r="C3" s="5">
        <v>45909</v>
      </c>
      <c r="D3" t="s">
        <v>80</v>
      </c>
    </row>
    <row r="4" spans="1:5" x14ac:dyDescent="0.3">
      <c r="A4" t="s">
        <v>21</v>
      </c>
      <c r="B4" s="5">
        <v>45957</v>
      </c>
      <c r="C4" s="5">
        <v>45961</v>
      </c>
      <c r="D4" t="s">
        <v>80</v>
      </c>
    </row>
    <row r="5" spans="1:5" x14ac:dyDescent="0.3">
      <c r="A5" t="s">
        <v>22</v>
      </c>
      <c r="B5" s="5">
        <v>46013</v>
      </c>
      <c r="C5" s="5">
        <v>46025</v>
      </c>
      <c r="D5" t="s">
        <v>80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F2DDB-5D9E-434E-822F-541613EA55A0}">
  <sheetPr codeName="Tabelle9"/>
  <dimension ref="A1"/>
  <sheetViews>
    <sheetView workbookViewId="0"/>
  </sheetViews>
  <sheetFormatPr baseColWidth="10" defaultRowHeight="14.4" x14ac:dyDescent="0.3"/>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16951-2FDF-41B6-AE13-20C68E56C523}">
  <sheetPr codeName="Tabelle10"/>
  <dimension ref="B3:BO70"/>
  <sheetViews>
    <sheetView showGridLines="0" tabSelected="1" workbookViewId="0">
      <selection activeCell="D13" sqref="D13"/>
    </sheetView>
  </sheetViews>
  <sheetFormatPr baseColWidth="10" defaultRowHeight="13.8" x14ac:dyDescent="0.3"/>
  <cols>
    <col min="1" max="1" width="2.77734375" style="11" customWidth="1"/>
    <col min="2" max="2" width="6.77734375" style="12" customWidth="1"/>
    <col min="3" max="3" width="16.77734375" style="11" customWidth="1"/>
    <col min="4" max="65" width="4.33203125" style="11" customWidth="1"/>
    <col min="66" max="16384" width="11.5546875" style="11"/>
  </cols>
  <sheetData>
    <row r="3" spans="2:67" x14ac:dyDescent="0.3">
      <c r="D3" s="28" t="str">
        <f>IF(WEEKDAY($D$5,2)=1,WEEKNUM($D$5,21),"")</f>
        <v/>
      </c>
      <c r="E3" s="28"/>
      <c r="F3" s="28" t="str">
        <f>IF(WEEKDAY($F$5,2)=1,WEEKNUM($F$5,21),"")</f>
        <v/>
      </c>
      <c r="G3" s="28"/>
      <c r="H3" s="28" t="str">
        <f>IF(WEEKDAY($H$5,2)=1,WEEKNUM($H$5,21),"")</f>
        <v/>
      </c>
      <c r="I3" s="28"/>
      <c r="J3" s="28" t="str">
        <f>IF(WEEKDAY($J$5,2)=1,WEEKNUM($J$5,21),"")</f>
        <v/>
      </c>
      <c r="K3" s="28"/>
      <c r="L3" s="28" t="str">
        <f>IF(WEEKDAY($L$5,2)=1,WEEKNUM($L$5,21),"")</f>
        <v/>
      </c>
      <c r="M3" s="28"/>
      <c r="N3" s="28">
        <f>IF(WEEKDAY($N$5,2)=1,WEEKNUM($N$5,21),"")</f>
        <v>2</v>
      </c>
      <c r="O3" s="28"/>
      <c r="P3" s="28" t="str">
        <f>IF(WEEKDAY($P$5,2)=1,WEEKNUM($P$5,21),"")</f>
        <v/>
      </c>
      <c r="Q3" s="28"/>
      <c r="R3" s="28" t="str">
        <f>IF(WEEKDAY($R$5,2)=1,WEEKNUM($R$5,21),"")</f>
        <v/>
      </c>
      <c r="S3" s="28"/>
      <c r="T3" s="28" t="str">
        <f>IF(WEEKDAY($T$5,2)=1,WEEKNUM($T$5,21),"")</f>
        <v/>
      </c>
      <c r="U3" s="28"/>
      <c r="V3" s="28" t="str">
        <f>IF(WEEKDAY($V$5,2)=1,WEEKNUM($V$5,21),"")</f>
        <v/>
      </c>
      <c r="W3" s="28"/>
      <c r="X3" s="28" t="str">
        <f>IF(WEEKDAY($X$5,2)=1,WEEKNUM($X$5,21),"")</f>
        <v/>
      </c>
      <c r="Y3" s="28"/>
      <c r="Z3" s="28" t="str">
        <f>IF(WEEKDAY($Z$5,2)=1,WEEKNUM($Z$5,21),"")</f>
        <v/>
      </c>
      <c r="AA3" s="28"/>
      <c r="AB3" s="28">
        <f>IF(WEEKDAY($AB$5,2)=1,WEEKNUM($AB$5,21),"")</f>
        <v>3</v>
      </c>
      <c r="AC3" s="28"/>
      <c r="AD3" s="28" t="str">
        <f>IF(WEEKDAY($AD$5,2)=1,WEEKNUM($AD$5,21),"")</f>
        <v/>
      </c>
      <c r="AE3" s="28"/>
      <c r="AF3" s="28" t="str">
        <f>IF(WEEKDAY($AF$5,2)=1,WEEKNUM($AF$5,21),"")</f>
        <v/>
      </c>
      <c r="AG3" s="28"/>
      <c r="AH3" s="28" t="str">
        <f>IF(WEEKDAY($AH$5,2)=1,WEEKNUM($AH$5,21),"")</f>
        <v/>
      </c>
      <c r="AI3" s="28"/>
      <c r="AJ3" s="28" t="str">
        <f>IF(WEEKDAY($AJ$5,2)=1,WEEKNUM($AJ$5,21),"")</f>
        <v/>
      </c>
      <c r="AK3" s="28"/>
      <c r="AL3" s="28" t="str">
        <f>IF(WEEKDAY($AL$5,2)=1,WEEKNUM($AL$5,21),"")</f>
        <v/>
      </c>
      <c r="AM3" s="28"/>
      <c r="AN3" s="28" t="str">
        <f>IF(WEEKDAY($AN$5,2)=1,WEEKNUM($AN$5,21),"")</f>
        <v/>
      </c>
      <c r="AO3" s="28"/>
      <c r="AP3" s="28">
        <f>IF(WEEKDAY($AP$5,2)=1,WEEKNUM($AP$5,21),"")</f>
        <v>4</v>
      </c>
      <c r="AQ3" s="28"/>
      <c r="AR3" s="28" t="str">
        <f>IF(WEEKDAY($AR$5,2)=1,WEEKNUM($AR$5,21),"")</f>
        <v/>
      </c>
      <c r="AS3" s="28"/>
      <c r="AT3" s="28" t="str">
        <f>IF(WEEKDAY($AT$5,2)=1,WEEKNUM($AT$5,21),"")</f>
        <v/>
      </c>
      <c r="AU3" s="28"/>
      <c r="AV3" s="28" t="str">
        <f>IF(WEEKDAY($AV$5,2)=1,WEEKNUM($AV$5,21),"")</f>
        <v/>
      </c>
      <c r="AW3" s="28"/>
      <c r="AX3" s="28" t="str">
        <f>IF(WEEKDAY($AX$5,2)=1,WEEKNUM($AX$5,21),"")</f>
        <v/>
      </c>
      <c r="AY3" s="28"/>
      <c r="AZ3" s="28" t="str">
        <f>IF(WEEKDAY($AZ$5,2)=1,WEEKNUM($AZ$5,21),"")</f>
        <v/>
      </c>
      <c r="BA3" s="28"/>
      <c r="BB3" s="28" t="str">
        <f>IF(WEEKDAY($BB$5,2)=1,WEEKNUM($BB$5,21),"")</f>
        <v/>
      </c>
      <c r="BC3" s="28"/>
      <c r="BD3" s="28">
        <f>IF(WEEKDAY($BD$5,2)=1,WEEKNUM($BD$5,21),"")</f>
        <v>5</v>
      </c>
      <c r="BE3" s="28"/>
      <c r="BF3" s="28" t="str">
        <f>IF(WEEKDAY($BF$5,2)=1,WEEKNUM($BF$5,21),"")</f>
        <v/>
      </c>
      <c r="BG3" s="28"/>
      <c r="BH3" s="28" t="str">
        <f>IF(WEEKDAY($BH$5,2)=1,WEEKNUM($BH$5,21),"")</f>
        <v/>
      </c>
      <c r="BI3" s="28"/>
      <c r="BJ3" s="28" t="str">
        <f>IF(WEEKDAY($BJ$5,2)=1,WEEKNUM($BJ$5,21),"")</f>
        <v/>
      </c>
      <c r="BK3" s="28"/>
      <c r="BL3" s="28" t="str">
        <f>IF(WEEKDAY($BL$5,2)=1,WEEKNUM($BL$5,21),"")</f>
        <v/>
      </c>
      <c r="BM3" s="28"/>
    </row>
    <row r="4" spans="2:67" x14ac:dyDescent="0.3">
      <c r="C4" s="16">
        <f>$D$5</f>
        <v>45658</v>
      </c>
      <c r="D4" s="29">
        <f>WEEKDAY($D$5,1)</f>
        <v>4</v>
      </c>
      <c r="E4" s="28"/>
      <c r="F4" s="29">
        <f>WEEKDAY($F$5,1)</f>
        <v>5</v>
      </c>
      <c r="G4" s="28"/>
      <c r="H4" s="29">
        <f>WEEKDAY($H$5,1)</f>
        <v>6</v>
      </c>
      <c r="I4" s="28"/>
      <c r="J4" s="29">
        <f>WEEKDAY($J$5,1)</f>
        <v>7</v>
      </c>
      <c r="K4" s="28"/>
      <c r="L4" s="29">
        <f>WEEKDAY($L$5,1)</f>
        <v>1</v>
      </c>
      <c r="M4" s="28"/>
      <c r="N4" s="29">
        <f>WEEKDAY($N$5,1)</f>
        <v>2</v>
      </c>
      <c r="O4" s="28"/>
      <c r="P4" s="29">
        <f>WEEKDAY($P$5,1)</f>
        <v>3</v>
      </c>
      <c r="Q4" s="28"/>
      <c r="R4" s="29">
        <f>WEEKDAY($R$5,1)</f>
        <v>4</v>
      </c>
      <c r="S4" s="28"/>
      <c r="T4" s="29">
        <f>WEEKDAY($T$5,1)</f>
        <v>5</v>
      </c>
      <c r="U4" s="28"/>
      <c r="V4" s="29">
        <f>WEEKDAY($V$5,1)</f>
        <v>6</v>
      </c>
      <c r="W4" s="28"/>
      <c r="X4" s="29">
        <f>WEEKDAY($X$5,1)</f>
        <v>7</v>
      </c>
      <c r="Y4" s="28"/>
      <c r="Z4" s="29">
        <f>WEEKDAY($Z$5,1)</f>
        <v>1</v>
      </c>
      <c r="AA4" s="28"/>
      <c r="AB4" s="29">
        <f>WEEKDAY($AB$5,1)</f>
        <v>2</v>
      </c>
      <c r="AC4" s="28"/>
      <c r="AD4" s="29">
        <f>WEEKDAY($AD$5,1)</f>
        <v>3</v>
      </c>
      <c r="AE4" s="28"/>
      <c r="AF4" s="29">
        <f>WEEKDAY($AF$5,1)</f>
        <v>4</v>
      </c>
      <c r="AG4" s="28"/>
      <c r="AH4" s="29">
        <f>WEEKDAY($AH$5,1)</f>
        <v>5</v>
      </c>
      <c r="AI4" s="28"/>
      <c r="AJ4" s="29">
        <f>WEEKDAY($AJ$5,1)</f>
        <v>6</v>
      </c>
      <c r="AK4" s="28"/>
      <c r="AL4" s="29">
        <f>WEEKDAY($AL$5,1)</f>
        <v>7</v>
      </c>
      <c r="AM4" s="28"/>
      <c r="AN4" s="29">
        <f>WEEKDAY($AN$5,1)</f>
        <v>1</v>
      </c>
      <c r="AO4" s="28"/>
      <c r="AP4" s="29">
        <f>WEEKDAY($AP$5,1)</f>
        <v>2</v>
      </c>
      <c r="AQ4" s="28"/>
      <c r="AR4" s="29">
        <f>WEEKDAY($AR$5,1)</f>
        <v>3</v>
      </c>
      <c r="AS4" s="28"/>
      <c r="AT4" s="29">
        <f>WEEKDAY($AT$5,1)</f>
        <v>4</v>
      </c>
      <c r="AU4" s="28"/>
      <c r="AV4" s="29">
        <f>WEEKDAY($AV$5,1)</f>
        <v>5</v>
      </c>
      <c r="AW4" s="28"/>
      <c r="AX4" s="29">
        <f>WEEKDAY($AX$5,1)</f>
        <v>6</v>
      </c>
      <c r="AY4" s="28"/>
      <c r="AZ4" s="29">
        <f>WEEKDAY($AZ$5,1)</f>
        <v>7</v>
      </c>
      <c r="BA4" s="28"/>
      <c r="BB4" s="29">
        <f>WEEKDAY($BB$5,1)</f>
        <v>1</v>
      </c>
      <c r="BC4" s="28"/>
      <c r="BD4" s="29">
        <f>WEEKDAY($BD$5,1)</f>
        <v>2</v>
      </c>
      <c r="BE4" s="28"/>
      <c r="BF4" s="29">
        <f>WEEKDAY($BF$5,1)</f>
        <v>3</v>
      </c>
      <c r="BG4" s="28"/>
      <c r="BH4" s="29">
        <f>WEEKDAY($BH$5,1)</f>
        <v>4</v>
      </c>
      <c r="BI4" s="28"/>
      <c r="BJ4" s="29">
        <f>WEEKDAY($BJ$5,1)</f>
        <v>5</v>
      </c>
      <c r="BK4" s="28"/>
      <c r="BL4" s="29">
        <f>WEEKDAY($BL$5,1)</f>
        <v>6</v>
      </c>
      <c r="BM4" s="28"/>
    </row>
    <row r="5" spans="2:67" ht="14.4" thickBot="1" x14ac:dyDescent="0.35">
      <c r="C5" s="13">
        <f>Anleitung!$C$2</f>
        <v>2025</v>
      </c>
      <c r="D5" s="30">
        <f>DATE($C$5,1,1)</f>
        <v>45658</v>
      </c>
      <c r="E5" s="31"/>
      <c r="F5" s="30">
        <f>$D$5+1</f>
        <v>45659</v>
      </c>
      <c r="G5" s="31"/>
      <c r="H5" s="30">
        <f>$F$5+1</f>
        <v>45660</v>
      </c>
      <c r="I5" s="31"/>
      <c r="J5" s="30">
        <f>$H$5+1</f>
        <v>45661</v>
      </c>
      <c r="K5" s="31"/>
      <c r="L5" s="30">
        <f>$J$5+1</f>
        <v>45662</v>
      </c>
      <c r="M5" s="31"/>
      <c r="N5" s="30">
        <f>$L$5+1</f>
        <v>45663</v>
      </c>
      <c r="O5" s="31"/>
      <c r="P5" s="30">
        <f>$N$5+1</f>
        <v>45664</v>
      </c>
      <c r="Q5" s="31"/>
      <c r="R5" s="30">
        <f>$P$5+1</f>
        <v>45665</v>
      </c>
      <c r="S5" s="31"/>
      <c r="T5" s="30">
        <f>$R$5+1</f>
        <v>45666</v>
      </c>
      <c r="U5" s="31"/>
      <c r="V5" s="30">
        <f>$T$5+1</f>
        <v>45667</v>
      </c>
      <c r="W5" s="31"/>
      <c r="X5" s="30">
        <f>$V$5+1</f>
        <v>45668</v>
      </c>
      <c r="Y5" s="31"/>
      <c r="Z5" s="30">
        <f>$X$5+1</f>
        <v>45669</v>
      </c>
      <c r="AA5" s="31"/>
      <c r="AB5" s="30">
        <f>$Z$5+1</f>
        <v>45670</v>
      </c>
      <c r="AC5" s="31"/>
      <c r="AD5" s="30">
        <f>$AB$5+1</f>
        <v>45671</v>
      </c>
      <c r="AE5" s="31"/>
      <c r="AF5" s="30">
        <f>$AD$5+1</f>
        <v>45672</v>
      </c>
      <c r="AG5" s="31"/>
      <c r="AH5" s="30">
        <f>$AF$5+1</f>
        <v>45673</v>
      </c>
      <c r="AI5" s="31"/>
      <c r="AJ5" s="30">
        <f>$AH$5+1</f>
        <v>45674</v>
      </c>
      <c r="AK5" s="31"/>
      <c r="AL5" s="30">
        <f>$AJ$5+1</f>
        <v>45675</v>
      </c>
      <c r="AM5" s="31"/>
      <c r="AN5" s="30">
        <f>$AL$5+1</f>
        <v>45676</v>
      </c>
      <c r="AO5" s="31"/>
      <c r="AP5" s="30">
        <f>$AN$5+1</f>
        <v>45677</v>
      </c>
      <c r="AQ5" s="31"/>
      <c r="AR5" s="30">
        <f>$AP$5+1</f>
        <v>45678</v>
      </c>
      <c r="AS5" s="31"/>
      <c r="AT5" s="30">
        <f>$AR$5+1</f>
        <v>45679</v>
      </c>
      <c r="AU5" s="31"/>
      <c r="AV5" s="30">
        <f>$AT$5+1</f>
        <v>45680</v>
      </c>
      <c r="AW5" s="31"/>
      <c r="AX5" s="30">
        <f>$AV$5+1</f>
        <v>45681</v>
      </c>
      <c r="AY5" s="31"/>
      <c r="AZ5" s="30">
        <f>$AX$5+1</f>
        <v>45682</v>
      </c>
      <c r="BA5" s="31"/>
      <c r="BB5" s="30">
        <f>$AZ$5+1</f>
        <v>45683</v>
      </c>
      <c r="BC5" s="31"/>
      <c r="BD5" s="30">
        <f>$BB$5+1</f>
        <v>45684</v>
      </c>
      <c r="BE5" s="31"/>
      <c r="BF5" s="30">
        <f>$BD$5+1</f>
        <v>45685</v>
      </c>
      <c r="BG5" s="31"/>
      <c r="BH5" s="30">
        <f>$BF$5+1</f>
        <v>45686</v>
      </c>
      <c r="BI5" s="31"/>
      <c r="BJ5" s="30">
        <f>$BH$5+1</f>
        <v>45687</v>
      </c>
      <c r="BK5" s="31"/>
      <c r="BL5" s="30">
        <f>$BJ$5+1</f>
        <v>45688</v>
      </c>
      <c r="BM5" s="31"/>
    </row>
    <row r="6" spans="2:67" x14ac:dyDescent="0.3">
      <c r="B6" s="17"/>
      <c r="C6" s="18" t="s">
        <v>68</v>
      </c>
      <c r="D6" s="22" t="s">
        <v>5</v>
      </c>
      <c r="E6" s="23"/>
      <c r="F6" s="19"/>
      <c r="G6" s="18"/>
      <c r="H6" s="19"/>
      <c r="I6" s="18"/>
      <c r="J6" s="19"/>
      <c r="K6" s="18"/>
      <c r="L6" s="19"/>
      <c r="M6" s="18"/>
      <c r="N6" s="19"/>
      <c r="O6" s="18"/>
      <c r="P6" s="19"/>
      <c r="Q6" s="18"/>
      <c r="R6" s="19"/>
      <c r="S6" s="18"/>
      <c r="T6" s="19"/>
      <c r="U6" s="18"/>
      <c r="V6" s="19"/>
      <c r="W6" s="18"/>
      <c r="X6" s="19"/>
      <c r="Y6" s="18"/>
      <c r="Z6" s="19"/>
      <c r="AA6" s="18"/>
      <c r="AB6" s="19"/>
      <c r="AC6" s="18"/>
      <c r="AD6" s="19"/>
      <c r="AE6" s="18"/>
      <c r="AF6" s="19"/>
      <c r="AG6" s="18"/>
      <c r="AH6" s="19"/>
      <c r="AI6" s="18"/>
      <c r="AJ6" s="19"/>
      <c r="AK6" s="18"/>
      <c r="AL6" s="19"/>
      <c r="AM6" s="18"/>
      <c r="AN6" s="19"/>
      <c r="AO6" s="18"/>
      <c r="AP6" s="19"/>
      <c r="AQ6" s="18"/>
      <c r="AR6" s="19"/>
      <c r="AS6" s="18"/>
      <c r="AT6" s="19"/>
      <c r="AU6" s="18"/>
      <c r="AV6" s="19"/>
      <c r="AW6" s="18"/>
      <c r="AX6" s="19"/>
      <c r="AY6" s="18"/>
      <c r="AZ6" s="19"/>
      <c r="BA6" s="18"/>
      <c r="BB6" s="19"/>
      <c r="BC6" s="18"/>
      <c r="BD6" s="19"/>
      <c r="BE6" s="18"/>
      <c r="BF6" s="19"/>
      <c r="BG6" s="18"/>
      <c r="BH6" s="19"/>
      <c r="BI6" s="18"/>
      <c r="BJ6" s="19"/>
      <c r="BK6" s="18"/>
      <c r="BL6" s="19"/>
      <c r="BM6" s="18"/>
      <c r="BN6" s="19"/>
      <c r="BO6" s="19"/>
    </row>
    <row r="7" spans="2:67" x14ac:dyDescent="0.3">
      <c r="B7" s="12">
        <f>COUNTIFS(Personen!A:A,"1",Personen!H:H,"Ja")</f>
        <v>2</v>
      </c>
      <c r="C7" s="13" t="s">
        <v>34</v>
      </c>
      <c r="D7" s="11">
        <f>COUNTIF($D$8:$D$9,"")+COUNTIF($D$8:$D$9,"TA")+COUNTIF($D$8:$D$9,"Z")</f>
        <v>2</v>
      </c>
      <c r="E7" s="13"/>
      <c r="F7" s="11">
        <f>COUNTIF($F$8:$F$9,"")+COUNTIF($F$8:$F$9,"TA")+COUNTIF($F$8:$F$9,"Z")</f>
        <v>2</v>
      </c>
      <c r="G7" s="13"/>
      <c r="H7" s="11">
        <f>COUNTIF($H$8:$H$9,"")+COUNTIF($H$8:$H$9,"TA")+COUNTIF($H$8:$H$9,"Z")</f>
        <v>2</v>
      </c>
      <c r="I7" s="13"/>
      <c r="J7" s="11">
        <f>COUNTIF($J$8:$J$9,"")+COUNTIF($J$8:$J$9,"TA")+COUNTIF($J$8:$J$9,"Z")</f>
        <v>2</v>
      </c>
      <c r="K7" s="13"/>
      <c r="L7" s="11">
        <f>COUNTIF($L$8:$L$9,"")+COUNTIF($L$8:$L$9,"TA")+COUNTIF($L$8:$L$9,"Z")</f>
        <v>2</v>
      </c>
      <c r="M7" s="13"/>
      <c r="N7" s="11">
        <f>COUNTIF($N$8:$N$9,"")+COUNTIF($N$8:$N$9,"TA")+COUNTIF($N$8:$N$9,"Z")</f>
        <v>2</v>
      </c>
      <c r="O7" s="13"/>
      <c r="P7" s="11">
        <f>COUNTIF($P$8:$P$9,"")+COUNTIF($P$8:$P$9,"TA")+COUNTIF($P$8:$P$9,"Z")</f>
        <v>2</v>
      </c>
      <c r="Q7" s="13"/>
      <c r="R7" s="11">
        <f>COUNTIF($R$8:$R$9,"")+COUNTIF($R$8:$R$9,"TA")+COUNTIF($R$8:$R$9,"Z")</f>
        <v>2</v>
      </c>
      <c r="S7" s="13"/>
      <c r="T7" s="11">
        <f>COUNTIF($T$8:$T$9,"")+COUNTIF($T$8:$T$9,"TA")+COUNTIF($T$8:$T$9,"Z")</f>
        <v>2</v>
      </c>
      <c r="U7" s="13"/>
      <c r="V7" s="11">
        <f>COUNTIF($V$8:$V$9,"")+COUNTIF($V$8:$V$9,"TA")+COUNTIF($V$8:$V$9,"Z")</f>
        <v>2</v>
      </c>
      <c r="W7" s="13"/>
      <c r="X7" s="11">
        <f>COUNTIF($X$8:$X$9,"")+COUNTIF($X$8:$X$9,"TA")+COUNTIF($X$8:$X$9,"Z")</f>
        <v>2</v>
      </c>
      <c r="Y7" s="13"/>
      <c r="Z7" s="11">
        <f>COUNTIF($Z$8:$Z$9,"")+COUNTIF($Z$8:$Z$9,"TA")+COUNTIF($Z$8:$Z$9,"Z")</f>
        <v>2</v>
      </c>
      <c r="AA7" s="13"/>
      <c r="AB7" s="11">
        <f>COUNTIF($AB$8:$AB$9,"")+COUNTIF($AB$8:$AB$9,"TA")+COUNTIF($AB$8:$AB$9,"Z")</f>
        <v>2</v>
      </c>
      <c r="AC7" s="13"/>
      <c r="AD7" s="11">
        <f>COUNTIF($AD$8:$AD$9,"")+COUNTIF($AD$8:$AD$9,"TA")+COUNTIF($AD$8:$AD$9,"Z")</f>
        <v>2</v>
      </c>
      <c r="AE7" s="13"/>
      <c r="AF7" s="11">
        <f>COUNTIF($AF$8:$AF$9,"")+COUNTIF($AF$8:$AF$9,"TA")+COUNTIF($AF$8:$AF$9,"Z")</f>
        <v>2</v>
      </c>
      <c r="AG7" s="13"/>
      <c r="AH7" s="11">
        <f>COUNTIF($AH$8:$AH$9,"")+COUNTIF($AH$8:$AH$9,"TA")+COUNTIF($AH$8:$AH$9,"Z")</f>
        <v>2</v>
      </c>
      <c r="AI7" s="13"/>
      <c r="AJ7" s="11">
        <f>COUNTIF($AJ$8:$AJ$9,"")+COUNTIF($AJ$8:$AJ$9,"TA")+COUNTIF($AJ$8:$AJ$9,"Z")</f>
        <v>2</v>
      </c>
      <c r="AK7" s="13"/>
      <c r="AL7" s="11">
        <f>COUNTIF($AL$8:$AL$9,"")+COUNTIF($AL$8:$AL$9,"TA")+COUNTIF($AL$8:$AL$9,"Z")</f>
        <v>2</v>
      </c>
      <c r="AM7" s="13"/>
      <c r="AN7" s="11">
        <f>COUNTIF($AN$8:$AN$9,"")+COUNTIF($AN$8:$AN$9,"TA")+COUNTIF($AN$8:$AN$9,"Z")</f>
        <v>2</v>
      </c>
      <c r="AO7" s="13"/>
      <c r="AP7" s="11">
        <f>COUNTIF($AP$8:$AP$9,"")+COUNTIF($AP$8:$AP$9,"TA")+COUNTIF($AP$8:$AP$9,"Z")</f>
        <v>2</v>
      </c>
      <c r="AQ7" s="13"/>
      <c r="AR7" s="11">
        <f>COUNTIF($AR$8:$AR$9,"")+COUNTIF($AR$8:$AR$9,"TA")+COUNTIF($AR$8:$AR$9,"Z")</f>
        <v>2</v>
      </c>
      <c r="AS7" s="13"/>
      <c r="AT7" s="11">
        <f>COUNTIF($AT$8:$AT$9,"")+COUNTIF($AT$8:$AT$9,"TA")+COUNTIF($AT$8:$AT$9,"Z")</f>
        <v>2</v>
      </c>
      <c r="AU7" s="13"/>
      <c r="AV7" s="11">
        <f>COUNTIF($AV$8:$AV$9,"")+COUNTIF($AV$8:$AV$9,"TA")+COUNTIF($AV$8:$AV$9,"Z")</f>
        <v>2</v>
      </c>
      <c r="AW7" s="13"/>
      <c r="AX7" s="11">
        <f>COUNTIF($AX$8:$AX$9,"")+COUNTIF($AX$8:$AX$9,"TA")+COUNTIF($AX$8:$AX$9,"Z")</f>
        <v>2</v>
      </c>
      <c r="AY7" s="13"/>
      <c r="AZ7" s="11">
        <f>COUNTIF($AZ$8:$AZ$9,"")+COUNTIF($AZ$8:$AZ$9,"TA")+COUNTIF($AZ$8:$AZ$9,"Z")</f>
        <v>2</v>
      </c>
      <c r="BA7" s="13"/>
      <c r="BB7" s="11">
        <f>COUNTIF($BB$8:$BB$9,"")+COUNTIF($BB$8:$BB$9,"TA")+COUNTIF($BB$8:$BB$9,"Z")</f>
        <v>2</v>
      </c>
      <c r="BC7" s="13"/>
      <c r="BD7" s="11">
        <f>COUNTIF($BD$8:$BD$9,"")+COUNTIF($BD$8:$BD$9,"TA")+COUNTIF($BD$8:$BD$9,"Z")</f>
        <v>2</v>
      </c>
      <c r="BE7" s="13"/>
      <c r="BF7" s="11">
        <f>COUNTIF($BF$8:$BF$9,"")+COUNTIF($BF$8:$BF$9,"TA")+COUNTIF($BF$8:$BF$9,"Z")</f>
        <v>2</v>
      </c>
      <c r="BG7" s="13"/>
      <c r="BH7" s="11">
        <f>COUNTIF($BH$8:$BH$9,"")+COUNTIF($BH$8:$BH$9,"TA")+COUNTIF($BH$8:$BH$9,"Z")</f>
        <v>2</v>
      </c>
      <c r="BI7" s="13"/>
      <c r="BJ7" s="11">
        <f>COUNTIF($BJ$8:$BJ$9,"")+COUNTIF($BJ$8:$BJ$9,"TA")+COUNTIF($BJ$8:$BJ$9,"Z")</f>
        <v>2</v>
      </c>
      <c r="BK7" s="13"/>
      <c r="BL7" s="11">
        <f>COUNTIF($BL$8:$BL$9,"")+COUNTIF($BL$8:$BL$9,"TA")+COUNTIF($BL$8:$BL$9,"Z")</f>
        <v>2</v>
      </c>
      <c r="BM7" s="13"/>
    </row>
    <row r="8" spans="2:67" x14ac:dyDescent="0.3">
      <c r="B8" s="12" t="s">
        <v>37</v>
      </c>
      <c r="C8" s="13" t="s">
        <v>38</v>
      </c>
      <c r="E8" s="13"/>
      <c r="G8" s="13"/>
      <c r="I8" s="13"/>
      <c r="K8" s="13"/>
      <c r="M8" s="13"/>
      <c r="O8" s="13"/>
      <c r="Q8" s="13"/>
      <c r="S8" s="13"/>
      <c r="U8" s="13"/>
      <c r="W8" s="13"/>
      <c r="Y8" s="13"/>
      <c r="AA8" s="13"/>
      <c r="AC8" s="13"/>
      <c r="AE8" s="13"/>
      <c r="AG8" s="13"/>
      <c r="AI8" s="13"/>
      <c r="AK8" s="13"/>
      <c r="AM8" s="13"/>
      <c r="AO8" s="13"/>
      <c r="AQ8" s="13"/>
      <c r="AS8" s="13"/>
      <c r="AU8" s="13"/>
      <c r="AW8" s="13"/>
      <c r="AY8" s="13"/>
      <c r="BA8" s="13"/>
      <c r="BC8" s="13"/>
      <c r="BE8" s="13"/>
      <c r="BG8" s="13"/>
      <c r="BI8" s="13"/>
      <c r="BK8" s="13"/>
      <c r="BM8" s="13"/>
    </row>
    <row r="9" spans="2:67" x14ac:dyDescent="0.3">
      <c r="B9" s="12" t="s">
        <v>44</v>
      </c>
      <c r="C9" s="13" t="s">
        <v>45</v>
      </c>
      <c r="E9" s="13"/>
      <c r="G9" s="13"/>
      <c r="I9" s="13"/>
      <c r="K9" s="13"/>
      <c r="M9" s="13"/>
      <c r="O9" s="13"/>
      <c r="Q9" s="13"/>
      <c r="S9" s="13"/>
      <c r="U9" s="13"/>
      <c r="W9" s="13"/>
      <c r="Y9" s="13"/>
      <c r="AA9" s="13"/>
      <c r="AC9" s="13"/>
      <c r="AE9" s="13"/>
      <c r="AG9" s="13"/>
      <c r="AI9" s="13"/>
      <c r="AK9" s="13"/>
      <c r="AM9" s="13"/>
      <c r="AO9" s="13"/>
      <c r="AQ9" s="13"/>
      <c r="AS9" s="13"/>
      <c r="AU9" s="13"/>
      <c r="AW9" s="13"/>
      <c r="AY9" s="13"/>
      <c r="BA9" s="13"/>
      <c r="BC9" s="13"/>
      <c r="BE9" s="13"/>
      <c r="BG9" s="13"/>
      <c r="BI9" s="13"/>
      <c r="BK9" s="13"/>
      <c r="BM9" s="13"/>
    </row>
    <row r="10" spans="2:67" x14ac:dyDescent="0.3">
      <c r="B10" s="20"/>
      <c r="C10" s="21" t="s">
        <v>40</v>
      </c>
      <c r="D10" s="24" t="s">
        <v>5</v>
      </c>
      <c r="E10" s="25"/>
      <c r="G10" s="13"/>
      <c r="I10" s="13"/>
      <c r="K10" s="13"/>
      <c r="M10" s="13"/>
      <c r="O10" s="13"/>
      <c r="Q10" s="13"/>
      <c r="S10" s="13"/>
      <c r="U10" s="13"/>
      <c r="W10" s="13"/>
      <c r="Y10" s="13"/>
      <c r="AA10" s="13"/>
      <c r="AC10" s="13"/>
      <c r="AE10" s="13"/>
      <c r="AG10" s="13"/>
      <c r="AI10" s="13"/>
      <c r="AK10" s="13"/>
      <c r="AM10" s="13"/>
      <c r="AO10" s="13"/>
      <c r="AQ10" s="13"/>
      <c r="AS10" s="13"/>
      <c r="AU10" s="13"/>
      <c r="AW10" s="13"/>
      <c r="AY10" s="13"/>
      <c r="BA10" s="13"/>
      <c r="BC10" s="13"/>
      <c r="BE10" s="13"/>
      <c r="BG10" s="13"/>
      <c r="BI10" s="13"/>
      <c r="BK10" s="13"/>
      <c r="BM10" s="13"/>
    </row>
    <row r="11" spans="2:67" x14ac:dyDescent="0.3">
      <c r="B11" s="12">
        <f>COUNTIFS(Personen!A:A,"2",Personen!H:H,"Ja")</f>
        <v>2</v>
      </c>
      <c r="C11" s="13" t="s">
        <v>46</v>
      </c>
      <c r="D11" s="33">
        <v>0</v>
      </c>
      <c r="E11" s="13"/>
      <c r="F11" s="11">
        <f>COUNTIF($F$12:$F$13,"")+COUNTIF($F$12:$F$13,"TA")+COUNTIF($F$12:$F$13,"Z")</f>
        <v>2</v>
      </c>
      <c r="G11" s="13"/>
      <c r="H11" s="11">
        <f>COUNTIF($H$12:$H$13,"")+COUNTIF($H$12:$H$13,"TA")+COUNTIF($H$12:$H$13,"Z")</f>
        <v>2</v>
      </c>
      <c r="I11" s="13"/>
      <c r="J11" s="11">
        <f>COUNTIF($J$12:$J$13,"")+COUNTIF($J$12:$J$13,"TA")+COUNTIF($J$12:$J$13,"Z")</f>
        <v>2</v>
      </c>
      <c r="K11" s="13"/>
      <c r="L11" s="11">
        <f>COUNTIF($L$12:$L$13,"")+COUNTIF($L$12:$L$13,"TA")+COUNTIF($L$12:$L$13,"Z")</f>
        <v>2</v>
      </c>
      <c r="M11" s="13"/>
      <c r="N11" s="11">
        <f>COUNTIF($N$12:$N$13,"")+COUNTIF($N$12:$N$13,"TA")+COUNTIF($N$12:$N$13,"Z")</f>
        <v>2</v>
      </c>
      <c r="O11" s="13"/>
      <c r="P11" s="11">
        <f>COUNTIF($P$12:$P$13,"")+COUNTIF($P$12:$P$13,"TA")+COUNTIF($P$12:$P$13,"Z")</f>
        <v>2</v>
      </c>
      <c r="Q11" s="13"/>
      <c r="R11" s="11">
        <f>COUNTIF($R$12:$R$13,"")+COUNTIF($R$12:$R$13,"TA")+COUNTIF($R$12:$R$13,"Z")</f>
        <v>2</v>
      </c>
      <c r="S11" s="13"/>
      <c r="T11" s="11">
        <f>COUNTIF($T$12:$T$13,"")+COUNTIF($T$12:$T$13,"TA")+COUNTIF($T$12:$T$13,"Z")</f>
        <v>2</v>
      </c>
      <c r="U11" s="13"/>
      <c r="V11" s="11">
        <f>COUNTIF($V$12:$V$13,"")+COUNTIF($V$12:$V$13,"TA")+COUNTIF($V$12:$V$13,"Z")</f>
        <v>2</v>
      </c>
      <c r="W11" s="13"/>
      <c r="X11" s="11">
        <f>COUNTIF($X$12:$X$13,"")+COUNTIF($X$12:$X$13,"TA")+COUNTIF($X$12:$X$13,"Z")</f>
        <v>2</v>
      </c>
      <c r="Y11" s="13"/>
      <c r="Z11" s="11">
        <f>COUNTIF($Z$12:$Z$13,"")+COUNTIF($Z$12:$Z$13,"TA")+COUNTIF($Z$12:$Z$13,"Z")</f>
        <v>2</v>
      </c>
      <c r="AA11" s="13"/>
      <c r="AB11" s="11">
        <f>COUNTIF($AB$12:$AB$13,"")+COUNTIF($AB$12:$AB$13,"TA")+COUNTIF($AB$12:$AB$13,"Z")</f>
        <v>2</v>
      </c>
      <c r="AC11" s="13"/>
      <c r="AD11" s="11">
        <f>COUNTIF($AD$12:$AD$13,"")+COUNTIF($AD$12:$AD$13,"TA")+COUNTIF($AD$12:$AD$13,"Z")</f>
        <v>2</v>
      </c>
      <c r="AE11" s="13"/>
      <c r="AF11" s="11">
        <f>COUNTIF($AF$12:$AF$13,"")+COUNTIF($AF$12:$AF$13,"TA")+COUNTIF($AF$12:$AF$13,"Z")</f>
        <v>2</v>
      </c>
      <c r="AG11" s="13"/>
      <c r="AH11" s="11">
        <f>COUNTIF($AH$12:$AH$13,"")+COUNTIF($AH$12:$AH$13,"TA")+COUNTIF($AH$12:$AH$13,"Z")</f>
        <v>2</v>
      </c>
      <c r="AI11" s="13"/>
      <c r="AJ11" s="11">
        <f>COUNTIF($AJ$12:$AJ$13,"")+COUNTIF($AJ$12:$AJ$13,"TA")+COUNTIF($AJ$12:$AJ$13,"Z")</f>
        <v>2</v>
      </c>
      <c r="AK11" s="13"/>
      <c r="AL11" s="11">
        <f>COUNTIF($AL$12:$AL$13,"")+COUNTIF($AL$12:$AL$13,"TA")+COUNTIF($AL$12:$AL$13,"Z")</f>
        <v>2</v>
      </c>
      <c r="AM11" s="13"/>
      <c r="AN11" s="11">
        <f>COUNTIF($AN$12:$AN$13,"")+COUNTIF($AN$12:$AN$13,"TA")+COUNTIF($AN$12:$AN$13,"Z")</f>
        <v>2</v>
      </c>
      <c r="AO11" s="13"/>
      <c r="AP11" s="11">
        <f>COUNTIF($AP$12:$AP$13,"")+COUNTIF($AP$12:$AP$13,"TA")+COUNTIF($AP$12:$AP$13,"Z")</f>
        <v>2</v>
      </c>
      <c r="AQ11" s="13"/>
      <c r="AR11" s="11">
        <f>COUNTIF($AR$12:$AR$13,"")+COUNTIF($AR$12:$AR$13,"TA")+COUNTIF($AR$12:$AR$13,"Z")</f>
        <v>2</v>
      </c>
      <c r="AS11" s="13"/>
      <c r="AT11" s="11">
        <f>COUNTIF($AT$12:$AT$13,"")+COUNTIF($AT$12:$AT$13,"TA")+COUNTIF($AT$12:$AT$13,"Z")</f>
        <v>2</v>
      </c>
      <c r="AU11" s="13"/>
      <c r="AV11" s="11">
        <f>COUNTIF($AV$12:$AV$13,"")+COUNTIF($AV$12:$AV$13,"TA")+COUNTIF($AV$12:$AV$13,"Z")</f>
        <v>2</v>
      </c>
      <c r="AW11" s="13"/>
      <c r="AX11" s="11">
        <f>COUNTIF($AX$12:$AX$13,"")+COUNTIF($AX$12:$AX$13,"TA")+COUNTIF($AX$12:$AX$13,"Z")</f>
        <v>2</v>
      </c>
      <c r="AY11" s="13"/>
      <c r="AZ11" s="11">
        <f>COUNTIF($AZ$12:$AZ$13,"")+COUNTIF($AZ$12:$AZ$13,"TA")+COUNTIF($AZ$12:$AZ$13,"Z")</f>
        <v>2</v>
      </c>
      <c r="BA11" s="13"/>
      <c r="BB11" s="11">
        <f>COUNTIF($BB$12:$BB$13,"")+COUNTIF($BB$12:$BB$13,"TA")+COUNTIF($BB$12:$BB$13,"Z")</f>
        <v>2</v>
      </c>
      <c r="BC11" s="13"/>
      <c r="BD11" s="11">
        <f>COUNTIF($BD$12:$BD$13,"")+COUNTIF($BD$12:$BD$13,"TA")+COUNTIF($BD$12:$BD$13,"Z")</f>
        <v>2</v>
      </c>
      <c r="BE11" s="13"/>
      <c r="BF11" s="11">
        <f>COUNTIF($BF$12:$BF$13,"")+COUNTIF($BF$12:$BF$13,"TA")+COUNTIF($BF$12:$BF$13,"Z")</f>
        <v>2</v>
      </c>
      <c r="BG11" s="13"/>
      <c r="BH11" s="11">
        <f>COUNTIF($BH$12:$BH$13,"")+COUNTIF($BH$12:$BH$13,"TA")+COUNTIF($BH$12:$BH$13,"Z")</f>
        <v>2</v>
      </c>
      <c r="BI11" s="13"/>
      <c r="BJ11" s="11">
        <f>COUNTIF($BJ$12:$BJ$13,"")+COUNTIF($BJ$12:$BJ$13,"TA")+COUNTIF($BJ$12:$BJ$13,"Z")</f>
        <v>2</v>
      </c>
      <c r="BK11" s="13"/>
      <c r="BL11" s="11">
        <f>COUNTIF($BL$12:$BL$13,"")+COUNTIF($BL$12:$BL$13,"TA")+COUNTIF($BL$12:$BL$13,"Z")</f>
        <v>2</v>
      </c>
      <c r="BM11" s="13"/>
    </row>
    <row r="12" spans="2:67" x14ac:dyDescent="0.3">
      <c r="B12" s="12" t="s">
        <v>49</v>
      </c>
      <c r="C12" s="13" t="s">
        <v>50</v>
      </c>
      <c r="D12" s="32" t="s">
        <v>114</v>
      </c>
      <c r="E12" s="13"/>
      <c r="G12" s="13"/>
      <c r="I12" s="13"/>
      <c r="K12" s="13"/>
      <c r="M12" s="13"/>
      <c r="O12" s="13"/>
      <c r="Q12" s="13"/>
      <c r="S12" s="13"/>
      <c r="U12" s="13"/>
      <c r="W12" s="13"/>
      <c r="Y12" s="13"/>
      <c r="AA12" s="13"/>
      <c r="AC12" s="13"/>
      <c r="AE12" s="13"/>
      <c r="AG12" s="13"/>
      <c r="AI12" s="13"/>
      <c r="AK12" s="13"/>
      <c r="AM12" s="13"/>
      <c r="AO12" s="13"/>
      <c r="AQ12" s="13"/>
      <c r="AS12" s="13"/>
      <c r="AU12" s="13"/>
      <c r="AW12" s="13"/>
      <c r="AY12" s="13"/>
      <c r="BA12" s="13"/>
      <c r="BC12" s="13"/>
      <c r="BE12" s="13"/>
      <c r="BG12" s="13"/>
      <c r="BI12" s="13"/>
      <c r="BK12" s="13"/>
      <c r="BM12" s="13"/>
    </row>
    <row r="13" spans="2:67" x14ac:dyDescent="0.3">
      <c r="B13" s="12" t="s">
        <v>49</v>
      </c>
      <c r="C13" s="13" t="s">
        <v>50</v>
      </c>
      <c r="D13" s="32" t="s">
        <v>114</v>
      </c>
      <c r="E13" s="13"/>
      <c r="G13" s="13"/>
      <c r="I13" s="13"/>
      <c r="K13" s="13"/>
      <c r="M13" s="13"/>
      <c r="O13" s="13"/>
      <c r="Q13" s="13"/>
      <c r="S13" s="13"/>
      <c r="U13" s="13"/>
      <c r="W13" s="13"/>
      <c r="Y13" s="13"/>
      <c r="AA13" s="13"/>
      <c r="AC13" s="13"/>
      <c r="AE13" s="13"/>
      <c r="AG13" s="13"/>
      <c r="AI13" s="13"/>
      <c r="AK13" s="13"/>
      <c r="AM13" s="13"/>
      <c r="AO13" s="13"/>
      <c r="AQ13" s="13"/>
      <c r="AS13" s="13"/>
      <c r="AU13" s="13"/>
      <c r="AW13" s="13"/>
      <c r="AY13" s="13"/>
      <c r="BA13" s="13"/>
      <c r="BC13" s="13"/>
      <c r="BE13" s="13"/>
      <c r="BG13" s="13"/>
      <c r="BI13" s="13"/>
      <c r="BK13" s="13"/>
      <c r="BM13" s="13"/>
    </row>
    <row r="14" spans="2:67" x14ac:dyDescent="0.3">
      <c r="B14" s="12">
        <f>COUNTIFS(Personen!A:A,"3",Personen!H:H,"Ja")</f>
        <v>3</v>
      </c>
      <c r="C14" s="13" t="s">
        <v>53</v>
      </c>
      <c r="D14" s="11">
        <f>COUNTIF($D$15:$D$17,"")+COUNTIF($D$15:$D$17,"TA")+COUNTIF($D$15:$D$17,"Z")</f>
        <v>3</v>
      </c>
      <c r="E14" s="13"/>
      <c r="F14" s="11">
        <f>COUNTIF($F$15:$F$17,"")+COUNTIF($F$15:$F$17,"TA")+COUNTIF($F$15:$F$17,"Z")</f>
        <v>3</v>
      </c>
      <c r="G14" s="13"/>
      <c r="H14" s="11">
        <f>COUNTIF($H$15:$H$17,"")+COUNTIF($H$15:$H$17,"TA")+COUNTIF($H$15:$H$17,"Z")</f>
        <v>3</v>
      </c>
      <c r="I14" s="13"/>
      <c r="J14" s="11">
        <f>COUNTIF($J$15:$J$17,"")+COUNTIF($J$15:$J$17,"TA")+COUNTIF($J$15:$J$17,"Z")</f>
        <v>3</v>
      </c>
      <c r="K14" s="13"/>
      <c r="L14" s="11">
        <f>COUNTIF($L$15:$L$17,"")+COUNTIF($L$15:$L$17,"TA")+COUNTIF($L$15:$L$17,"Z")</f>
        <v>3</v>
      </c>
      <c r="M14" s="13"/>
      <c r="N14" s="11">
        <f>COUNTIF($N$15:$N$17,"")+COUNTIF($N$15:$N$17,"TA")+COUNTIF($N$15:$N$17,"Z")</f>
        <v>3</v>
      </c>
      <c r="O14" s="13"/>
      <c r="P14" s="11">
        <f>COUNTIF($P$15:$P$17,"")+COUNTIF($P$15:$P$17,"TA")+COUNTIF($P$15:$P$17,"Z")</f>
        <v>3</v>
      </c>
      <c r="Q14" s="13"/>
      <c r="R14" s="11">
        <f>COUNTIF($R$15:$R$17,"")+COUNTIF($R$15:$R$17,"TA")+COUNTIF($R$15:$R$17,"Z")</f>
        <v>3</v>
      </c>
      <c r="S14" s="13"/>
      <c r="T14" s="11">
        <f>COUNTIF($T$15:$T$17,"")+COUNTIF($T$15:$T$17,"TA")+COUNTIF($T$15:$T$17,"Z")</f>
        <v>3</v>
      </c>
      <c r="U14" s="13"/>
      <c r="V14" s="11">
        <f>COUNTIF($V$15:$V$17,"")+COUNTIF($V$15:$V$17,"TA")+COUNTIF($V$15:$V$17,"Z")</f>
        <v>3</v>
      </c>
      <c r="W14" s="13"/>
      <c r="X14" s="11">
        <f>COUNTIF($X$15:$X$17,"")+COUNTIF($X$15:$X$17,"TA")+COUNTIF($X$15:$X$17,"Z")</f>
        <v>3</v>
      </c>
      <c r="Y14" s="13"/>
      <c r="Z14" s="11">
        <f>COUNTIF($Z$15:$Z$17,"")+COUNTIF($Z$15:$Z$17,"TA")+COUNTIF($Z$15:$Z$17,"Z")</f>
        <v>3</v>
      </c>
      <c r="AA14" s="13"/>
      <c r="AB14" s="11">
        <f>COUNTIF($AB$15:$AB$17,"")+COUNTIF($AB$15:$AB$17,"TA")+COUNTIF($AB$15:$AB$17,"Z")</f>
        <v>3</v>
      </c>
      <c r="AC14" s="13"/>
      <c r="AD14" s="11">
        <f>COUNTIF($AD$15:$AD$17,"")+COUNTIF($AD$15:$AD$17,"TA")+COUNTIF($AD$15:$AD$17,"Z")</f>
        <v>3</v>
      </c>
      <c r="AE14" s="13"/>
      <c r="AF14" s="11">
        <f>COUNTIF($AF$15:$AF$17,"")+COUNTIF($AF$15:$AF$17,"TA")+COUNTIF($AF$15:$AF$17,"Z")</f>
        <v>3</v>
      </c>
      <c r="AG14" s="13"/>
      <c r="AH14" s="11">
        <f>COUNTIF($AH$15:$AH$17,"")+COUNTIF($AH$15:$AH$17,"TA")+COUNTIF($AH$15:$AH$17,"Z")</f>
        <v>3</v>
      </c>
      <c r="AI14" s="13"/>
      <c r="AJ14" s="11">
        <f>COUNTIF($AJ$15:$AJ$17,"")+COUNTIF($AJ$15:$AJ$17,"TA")+COUNTIF($AJ$15:$AJ$17,"Z")</f>
        <v>3</v>
      </c>
      <c r="AK14" s="13"/>
      <c r="AL14" s="11">
        <f>COUNTIF($AL$15:$AL$17,"")+COUNTIF($AL$15:$AL$17,"TA")+COUNTIF($AL$15:$AL$17,"Z")</f>
        <v>3</v>
      </c>
      <c r="AM14" s="13"/>
      <c r="AN14" s="11">
        <f>COUNTIF($AN$15:$AN$17,"")+COUNTIF($AN$15:$AN$17,"TA")+COUNTIF($AN$15:$AN$17,"Z")</f>
        <v>3</v>
      </c>
      <c r="AO14" s="13"/>
      <c r="AP14" s="11">
        <f>COUNTIF($AP$15:$AP$17,"")+COUNTIF($AP$15:$AP$17,"TA")+COUNTIF($AP$15:$AP$17,"Z")</f>
        <v>3</v>
      </c>
      <c r="AQ14" s="13"/>
      <c r="AR14" s="11">
        <f>COUNTIF($AR$15:$AR$17,"")+COUNTIF($AR$15:$AR$17,"TA")+COUNTIF($AR$15:$AR$17,"Z")</f>
        <v>3</v>
      </c>
      <c r="AS14" s="13"/>
      <c r="AT14" s="11">
        <f>COUNTIF($AT$15:$AT$17,"")+COUNTIF($AT$15:$AT$17,"TA")+COUNTIF($AT$15:$AT$17,"Z")</f>
        <v>3</v>
      </c>
      <c r="AU14" s="13"/>
      <c r="AV14" s="11">
        <f>COUNTIF($AV$15:$AV$17,"")+COUNTIF($AV$15:$AV$17,"TA")+COUNTIF($AV$15:$AV$17,"Z")</f>
        <v>3</v>
      </c>
      <c r="AW14" s="13"/>
      <c r="AX14" s="11">
        <f>COUNTIF($AX$15:$AX$17,"")+COUNTIF($AX$15:$AX$17,"TA")+COUNTIF($AX$15:$AX$17,"Z")</f>
        <v>3</v>
      </c>
      <c r="AY14" s="13"/>
      <c r="AZ14" s="11">
        <f>COUNTIF($AZ$15:$AZ$17,"")+COUNTIF($AZ$15:$AZ$17,"TA")+COUNTIF($AZ$15:$AZ$17,"Z")</f>
        <v>3</v>
      </c>
      <c r="BA14" s="13"/>
      <c r="BB14" s="11">
        <f>COUNTIF($BB$15:$BB$17,"")+COUNTIF($BB$15:$BB$17,"TA")+COUNTIF($BB$15:$BB$17,"Z")</f>
        <v>3</v>
      </c>
      <c r="BC14" s="13"/>
      <c r="BD14" s="11">
        <f>COUNTIF($BD$15:$BD$17,"")+COUNTIF($BD$15:$BD$17,"TA")+COUNTIF($BD$15:$BD$17,"Z")</f>
        <v>3</v>
      </c>
      <c r="BE14" s="13"/>
      <c r="BF14" s="11">
        <f>COUNTIF($BF$15:$BF$17,"")+COUNTIF($BF$15:$BF$17,"TA")+COUNTIF($BF$15:$BF$17,"Z")</f>
        <v>3</v>
      </c>
      <c r="BG14" s="13"/>
      <c r="BH14" s="11">
        <f>COUNTIF($BH$15:$BH$17,"")+COUNTIF($BH$15:$BH$17,"TA")+COUNTIF($BH$15:$BH$17,"Z")</f>
        <v>3</v>
      </c>
      <c r="BI14" s="13"/>
      <c r="BJ14" s="11">
        <f>COUNTIF($BJ$15:$BJ$17,"")+COUNTIF($BJ$15:$BJ$17,"TA")+COUNTIF($BJ$15:$BJ$17,"Z")</f>
        <v>3</v>
      </c>
      <c r="BK14" s="13"/>
      <c r="BL14" s="11">
        <f>COUNTIF($BL$15:$BL$17,"")+COUNTIF($BL$15:$BL$17,"TA")+COUNTIF($BL$15:$BL$17,"Z")</f>
        <v>3</v>
      </c>
      <c r="BM14" s="13"/>
    </row>
    <row r="15" spans="2:67" x14ac:dyDescent="0.3">
      <c r="B15" s="12" t="s">
        <v>49</v>
      </c>
      <c r="C15" s="13" t="s">
        <v>55</v>
      </c>
      <c r="E15" s="13"/>
      <c r="G15" s="13"/>
      <c r="I15" s="13"/>
      <c r="K15" s="13"/>
      <c r="M15" s="13"/>
      <c r="O15" s="13"/>
      <c r="Q15" s="13"/>
      <c r="S15" s="13"/>
      <c r="U15" s="13"/>
      <c r="W15" s="13"/>
      <c r="Y15" s="13"/>
      <c r="AA15" s="13"/>
      <c r="AC15" s="13"/>
      <c r="AE15" s="13"/>
      <c r="AG15" s="13"/>
      <c r="AI15" s="13"/>
      <c r="AK15" s="13"/>
      <c r="AM15" s="13"/>
      <c r="AO15" s="13"/>
      <c r="AQ15" s="13"/>
      <c r="AS15" s="13"/>
      <c r="AU15" s="13"/>
      <c r="AW15" s="13"/>
      <c r="AY15" s="13"/>
      <c r="BA15" s="13"/>
      <c r="BC15" s="13"/>
      <c r="BE15" s="13"/>
      <c r="BG15" s="13"/>
      <c r="BI15" s="13"/>
      <c r="BK15" s="13"/>
      <c r="BM15" s="13"/>
    </row>
    <row r="16" spans="2:67" x14ac:dyDescent="0.3">
      <c r="B16" s="12" t="s">
        <v>49</v>
      </c>
      <c r="C16" s="13" t="s">
        <v>55</v>
      </c>
      <c r="E16" s="13"/>
      <c r="G16" s="13"/>
      <c r="I16" s="13"/>
      <c r="K16" s="13"/>
      <c r="M16" s="13"/>
      <c r="O16" s="13"/>
      <c r="Q16" s="13"/>
      <c r="S16" s="13"/>
      <c r="U16" s="13"/>
      <c r="W16" s="13"/>
      <c r="Y16" s="13"/>
      <c r="AA16" s="13"/>
      <c r="AC16" s="13"/>
      <c r="AE16" s="13"/>
      <c r="AG16" s="13"/>
      <c r="AI16" s="13"/>
      <c r="AK16" s="13"/>
      <c r="AM16" s="13"/>
      <c r="AO16" s="13"/>
      <c r="AQ16" s="13"/>
      <c r="AS16" s="13"/>
      <c r="AU16" s="13"/>
      <c r="AW16" s="13"/>
      <c r="AY16" s="13"/>
      <c r="BA16" s="13"/>
      <c r="BC16" s="13"/>
      <c r="BE16" s="13"/>
      <c r="BG16" s="13"/>
      <c r="BI16" s="13"/>
      <c r="BK16" s="13"/>
      <c r="BM16" s="13"/>
    </row>
    <row r="17" spans="2:65" x14ac:dyDescent="0.3">
      <c r="B17" s="12" t="s">
        <v>49</v>
      </c>
      <c r="C17" s="13" t="s">
        <v>53</v>
      </c>
      <c r="E17" s="13"/>
      <c r="G17" s="13"/>
      <c r="I17" s="13"/>
      <c r="K17" s="13"/>
      <c r="M17" s="13"/>
      <c r="O17" s="13"/>
      <c r="Q17" s="13"/>
      <c r="S17" s="13"/>
      <c r="U17" s="13"/>
      <c r="W17" s="13"/>
      <c r="Y17" s="13"/>
      <c r="AA17" s="13"/>
      <c r="AC17" s="13"/>
      <c r="AE17" s="13"/>
      <c r="AG17" s="13"/>
      <c r="AI17" s="13"/>
      <c r="AK17" s="13"/>
      <c r="AM17" s="13"/>
      <c r="AO17" s="13"/>
      <c r="AQ17" s="13"/>
      <c r="AS17" s="13"/>
      <c r="AU17" s="13"/>
      <c r="AW17" s="13"/>
      <c r="AY17" s="13"/>
      <c r="BA17" s="13"/>
      <c r="BC17" s="13"/>
      <c r="BE17" s="13"/>
      <c r="BG17" s="13"/>
      <c r="BI17" s="13"/>
      <c r="BK17" s="13"/>
      <c r="BM17" s="13"/>
    </row>
    <row r="18" spans="2:65" x14ac:dyDescent="0.3">
      <c r="B18" s="20"/>
      <c r="C18" s="21" t="s">
        <v>51</v>
      </c>
      <c r="D18" s="24" t="s">
        <v>5</v>
      </c>
      <c r="E18" s="25"/>
      <c r="G18" s="13"/>
      <c r="I18" s="13"/>
      <c r="K18" s="13"/>
      <c r="M18" s="13"/>
      <c r="O18" s="13"/>
      <c r="Q18" s="13"/>
      <c r="S18" s="13"/>
      <c r="U18" s="13"/>
      <c r="W18" s="13"/>
      <c r="Y18" s="13"/>
      <c r="AA18" s="13"/>
      <c r="AC18" s="13"/>
      <c r="AE18" s="13"/>
      <c r="AG18" s="13"/>
      <c r="AI18" s="13"/>
      <c r="AK18" s="13"/>
      <c r="AM18" s="13"/>
      <c r="AO18" s="13"/>
      <c r="AQ18" s="13"/>
      <c r="AS18" s="13"/>
      <c r="AU18" s="13"/>
      <c r="AW18" s="13"/>
      <c r="AY18" s="13"/>
      <c r="BA18" s="13"/>
      <c r="BC18" s="13"/>
      <c r="BE18" s="13"/>
      <c r="BG18" s="13"/>
      <c r="BI18" s="13"/>
      <c r="BK18" s="13"/>
      <c r="BM18" s="13"/>
    </row>
    <row r="19" spans="2:65" x14ac:dyDescent="0.3">
      <c r="B19" s="12">
        <f>COUNTIFS(Personen!A:A,"4",Personen!H:H,"Ja")</f>
        <v>2</v>
      </c>
      <c r="C19" s="13" t="s">
        <v>59</v>
      </c>
      <c r="D19" s="11">
        <f>COUNTIF($D$20:$D$21,"")+COUNTIF($D$20:$D$21,"TA")+COUNTIF($D$20:$D$21,"Z")</f>
        <v>2</v>
      </c>
      <c r="E19" s="13"/>
      <c r="F19" s="11">
        <f>COUNTIF($F$20:$F$21,"")+COUNTIF($F$20:$F$21,"TA")+COUNTIF($F$20:$F$21,"Z")</f>
        <v>2</v>
      </c>
      <c r="G19" s="13"/>
      <c r="H19" s="11">
        <f>COUNTIF($H$20:$H$21,"")+COUNTIF($H$20:$H$21,"TA")+COUNTIF($H$20:$H$21,"Z")</f>
        <v>2</v>
      </c>
      <c r="I19" s="13"/>
      <c r="J19" s="11">
        <f>COUNTIF($J$20:$J$21,"")+COUNTIF($J$20:$J$21,"TA")+COUNTIF($J$20:$J$21,"Z")</f>
        <v>2</v>
      </c>
      <c r="K19" s="13"/>
      <c r="L19" s="11">
        <f>COUNTIF($L$20:$L$21,"")+COUNTIF($L$20:$L$21,"TA")+COUNTIF($L$20:$L$21,"Z")</f>
        <v>2</v>
      </c>
      <c r="M19" s="13"/>
      <c r="N19" s="11">
        <f>COUNTIF($N$20:$N$21,"")+COUNTIF($N$20:$N$21,"TA")+COUNTIF($N$20:$N$21,"Z")</f>
        <v>2</v>
      </c>
      <c r="O19" s="13"/>
      <c r="P19" s="11">
        <f>COUNTIF($P$20:$P$21,"")+COUNTIF($P$20:$P$21,"TA")+COUNTIF($P$20:$P$21,"Z")</f>
        <v>2</v>
      </c>
      <c r="Q19" s="13"/>
      <c r="R19" s="11">
        <f>COUNTIF($R$20:$R$21,"")+COUNTIF($R$20:$R$21,"TA")+COUNTIF($R$20:$R$21,"Z")</f>
        <v>2</v>
      </c>
      <c r="S19" s="13"/>
      <c r="T19" s="11">
        <f>COUNTIF($T$20:$T$21,"")+COUNTIF($T$20:$T$21,"TA")+COUNTIF($T$20:$T$21,"Z")</f>
        <v>2</v>
      </c>
      <c r="U19" s="13"/>
      <c r="V19" s="11">
        <f>COUNTIF($V$20:$V$21,"")+COUNTIF($V$20:$V$21,"TA")+COUNTIF($V$20:$V$21,"Z")</f>
        <v>2</v>
      </c>
      <c r="W19" s="13"/>
      <c r="X19" s="11">
        <f>COUNTIF($X$20:$X$21,"")+COUNTIF($X$20:$X$21,"TA")+COUNTIF($X$20:$X$21,"Z")</f>
        <v>2</v>
      </c>
      <c r="Y19" s="13"/>
      <c r="Z19" s="11">
        <f>COUNTIF($Z$20:$Z$21,"")+COUNTIF($Z$20:$Z$21,"TA")+COUNTIF($Z$20:$Z$21,"Z")</f>
        <v>2</v>
      </c>
      <c r="AA19" s="13"/>
      <c r="AB19" s="11">
        <f>COUNTIF($AB$20:$AB$21,"")+COUNTIF($AB$20:$AB$21,"TA")+COUNTIF($AB$20:$AB$21,"Z")</f>
        <v>2</v>
      </c>
      <c r="AC19" s="13"/>
      <c r="AD19" s="11">
        <f>COUNTIF($AD$20:$AD$21,"")+COUNTIF($AD$20:$AD$21,"TA")+COUNTIF($AD$20:$AD$21,"Z")</f>
        <v>2</v>
      </c>
      <c r="AE19" s="13"/>
      <c r="AF19" s="11">
        <f>COUNTIF($AF$20:$AF$21,"")+COUNTIF($AF$20:$AF$21,"TA")+COUNTIF($AF$20:$AF$21,"Z")</f>
        <v>2</v>
      </c>
      <c r="AG19" s="13"/>
      <c r="AH19" s="11">
        <f>COUNTIF($AH$20:$AH$21,"")+COUNTIF($AH$20:$AH$21,"TA")+COUNTIF($AH$20:$AH$21,"Z")</f>
        <v>2</v>
      </c>
      <c r="AI19" s="13"/>
      <c r="AJ19" s="11">
        <f>COUNTIF($AJ$20:$AJ$21,"")+COUNTIF($AJ$20:$AJ$21,"TA")+COUNTIF($AJ$20:$AJ$21,"Z")</f>
        <v>2</v>
      </c>
      <c r="AK19" s="13"/>
      <c r="AL19" s="11">
        <f>COUNTIF($AL$20:$AL$21,"")+COUNTIF($AL$20:$AL$21,"TA")+COUNTIF($AL$20:$AL$21,"Z")</f>
        <v>2</v>
      </c>
      <c r="AM19" s="13"/>
      <c r="AN19" s="11">
        <f>COUNTIF($AN$20:$AN$21,"")+COUNTIF($AN$20:$AN$21,"TA")+COUNTIF($AN$20:$AN$21,"Z")</f>
        <v>2</v>
      </c>
      <c r="AO19" s="13"/>
      <c r="AP19" s="11">
        <f>COUNTIF($AP$20:$AP$21,"")+COUNTIF($AP$20:$AP$21,"TA")+COUNTIF($AP$20:$AP$21,"Z")</f>
        <v>2</v>
      </c>
      <c r="AQ19" s="13"/>
      <c r="AR19" s="11">
        <f>COUNTIF($AR$20:$AR$21,"")+COUNTIF($AR$20:$AR$21,"TA")+COUNTIF($AR$20:$AR$21,"Z")</f>
        <v>2</v>
      </c>
      <c r="AS19" s="13"/>
      <c r="AT19" s="11">
        <f>COUNTIF($AT$20:$AT$21,"")+COUNTIF($AT$20:$AT$21,"TA")+COUNTIF($AT$20:$AT$21,"Z")</f>
        <v>2</v>
      </c>
      <c r="AU19" s="13"/>
      <c r="AV19" s="11">
        <f>COUNTIF($AV$20:$AV$21,"")+COUNTIF($AV$20:$AV$21,"TA")+COUNTIF($AV$20:$AV$21,"Z")</f>
        <v>2</v>
      </c>
      <c r="AW19" s="13"/>
      <c r="AX19" s="11">
        <f>COUNTIF($AX$20:$AX$21,"")+COUNTIF($AX$20:$AX$21,"TA")+COUNTIF($AX$20:$AX$21,"Z")</f>
        <v>2</v>
      </c>
      <c r="AY19" s="13"/>
      <c r="AZ19" s="11">
        <f>COUNTIF($AZ$20:$AZ$21,"")+COUNTIF($AZ$20:$AZ$21,"TA")+COUNTIF($AZ$20:$AZ$21,"Z")</f>
        <v>2</v>
      </c>
      <c r="BA19" s="13"/>
      <c r="BB19" s="11">
        <f>COUNTIF($BB$20:$BB$21,"")+COUNTIF($BB$20:$BB$21,"TA")+COUNTIF($BB$20:$BB$21,"Z")</f>
        <v>2</v>
      </c>
      <c r="BC19" s="13"/>
      <c r="BD19" s="11">
        <f>COUNTIF($BD$20:$BD$21,"")+COUNTIF($BD$20:$BD$21,"TA")+COUNTIF($BD$20:$BD$21,"Z")</f>
        <v>2</v>
      </c>
      <c r="BE19" s="13"/>
      <c r="BF19" s="11">
        <f>COUNTIF($BF$20:$BF$21,"")+COUNTIF($BF$20:$BF$21,"TA")+COUNTIF($BF$20:$BF$21,"Z")</f>
        <v>2</v>
      </c>
      <c r="BG19" s="13"/>
      <c r="BH19" s="11">
        <f>COUNTIF($BH$20:$BH$21,"")+COUNTIF($BH$20:$BH$21,"TA")+COUNTIF($BH$20:$BH$21,"Z")</f>
        <v>2</v>
      </c>
      <c r="BI19" s="13"/>
      <c r="BJ19" s="11">
        <f>COUNTIF($BJ$20:$BJ$21,"")+COUNTIF($BJ$20:$BJ$21,"TA")+COUNTIF($BJ$20:$BJ$21,"Z")</f>
        <v>2</v>
      </c>
      <c r="BK19" s="13"/>
      <c r="BL19" s="11">
        <f>COUNTIF($BL$20:$BL$21,"")+COUNTIF($BL$20:$BL$21,"TA")+COUNTIF($BL$20:$BL$21,"Z")</f>
        <v>2</v>
      </c>
      <c r="BM19" s="13"/>
    </row>
    <row r="20" spans="2:65" x14ac:dyDescent="0.3">
      <c r="B20" s="12" t="s">
        <v>49</v>
      </c>
      <c r="C20" s="13" t="s">
        <v>59</v>
      </c>
      <c r="E20" s="13"/>
      <c r="G20" s="13"/>
      <c r="I20" s="13"/>
      <c r="K20" s="13"/>
      <c r="M20" s="13"/>
      <c r="O20" s="13"/>
      <c r="Q20" s="13"/>
      <c r="S20" s="13"/>
      <c r="U20" s="13"/>
      <c r="W20" s="13"/>
      <c r="Y20" s="13"/>
      <c r="AA20" s="13"/>
      <c r="AC20" s="13"/>
      <c r="AE20" s="13"/>
      <c r="AG20" s="13"/>
      <c r="AI20" s="13"/>
      <c r="AK20" s="13"/>
      <c r="AM20" s="13"/>
      <c r="AO20" s="13"/>
      <c r="AQ20" s="13"/>
      <c r="AS20" s="13"/>
      <c r="AU20" s="13"/>
      <c r="AW20" s="13"/>
      <c r="AY20" s="13"/>
      <c r="BA20" s="13"/>
      <c r="BC20" s="13"/>
      <c r="BE20" s="13"/>
      <c r="BG20" s="13"/>
      <c r="BI20" s="13"/>
      <c r="BK20" s="13"/>
      <c r="BM20" s="13"/>
    </row>
    <row r="21" spans="2:65" x14ac:dyDescent="0.3">
      <c r="B21" s="12" t="s">
        <v>49</v>
      </c>
      <c r="C21" s="13" t="s">
        <v>59</v>
      </c>
      <c r="E21" s="13"/>
      <c r="G21" s="13"/>
      <c r="I21" s="13"/>
      <c r="K21" s="13"/>
      <c r="M21" s="13"/>
      <c r="O21" s="13"/>
      <c r="Q21" s="13"/>
      <c r="S21" s="13"/>
      <c r="U21" s="13"/>
      <c r="W21" s="13"/>
      <c r="Y21" s="13"/>
      <c r="AA21" s="13"/>
      <c r="AC21" s="13"/>
      <c r="AE21" s="13"/>
      <c r="AG21" s="13"/>
      <c r="AI21" s="13"/>
      <c r="AK21" s="13"/>
      <c r="AM21" s="13"/>
      <c r="AO21" s="13"/>
      <c r="AQ21" s="13"/>
      <c r="AS21" s="13"/>
      <c r="AU21" s="13"/>
      <c r="AW21" s="13"/>
      <c r="AY21" s="13"/>
      <c r="BA21" s="13"/>
      <c r="BC21" s="13"/>
      <c r="BE21" s="13"/>
      <c r="BG21" s="13"/>
      <c r="BI21" s="13"/>
      <c r="BK21" s="13"/>
      <c r="BM21" s="13"/>
    </row>
    <row r="22" spans="2:65" x14ac:dyDescent="0.3">
      <c r="B22" s="20"/>
      <c r="C22" s="21" t="s">
        <v>61</v>
      </c>
      <c r="D22" s="24" t="s">
        <v>5</v>
      </c>
      <c r="E22" s="25"/>
      <c r="G22" s="13"/>
      <c r="I22" s="13"/>
      <c r="K22" s="13"/>
      <c r="M22" s="13"/>
      <c r="O22" s="13"/>
      <c r="Q22" s="13"/>
      <c r="S22" s="13"/>
      <c r="U22" s="13"/>
      <c r="W22" s="13"/>
      <c r="Y22" s="13"/>
      <c r="AA22" s="13"/>
      <c r="AC22" s="13"/>
      <c r="AE22" s="13"/>
      <c r="AG22" s="13"/>
      <c r="AI22" s="13"/>
      <c r="AK22" s="13"/>
      <c r="AM22" s="13"/>
      <c r="AO22" s="13"/>
      <c r="AQ22" s="13"/>
      <c r="AS22" s="13"/>
      <c r="AU22" s="13"/>
      <c r="AW22" s="13"/>
      <c r="AY22" s="13"/>
      <c r="BA22" s="13"/>
      <c r="BC22" s="13"/>
      <c r="BE22" s="13"/>
      <c r="BG22" s="13"/>
      <c r="BI22" s="13"/>
      <c r="BK22" s="13"/>
      <c r="BM22" s="13"/>
    </row>
    <row r="23" spans="2:65" x14ac:dyDescent="0.3">
      <c r="B23" s="12">
        <f>COUNTIFS(Personen!A:A,"5",Personen!H:H,"Ja")</f>
        <v>1</v>
      </c>
      <c r="C23" s="13" t="s">
        <v>63</v>
      </c>
      <c r="D23" s="11">
        <f>COUNTIF($D$24:$D$24,"")+COUNTIF($D$24:$D$24,"TA")+COUNTIF($D$24:$D$24,"Z")</f>
        <v>1</v>
      </c>
      <c r="E23" s="13"/>
      <c r="F23" s="11">
        <f>COUNTIF($F$24:$F$24,"")+COUNTIF($F$24:$F$24,"TA")+COUNTIF($F$24:$F$24,"Z")</f>
        <v>1</v>
      </c>
      <c r="G23" s="13"/>
      <c r="H23" s="11">
        <f>COUNTIF($H$24:$H$24,"")+COUNTIF($H$24:$H$24,"TA")+COUNTIF($H$24:$H$24,"Z")</f>
        <v>1</v>
      </c>
      <c r="I23" s="13"/>
      <c r="J23" s="11">
        <f>COUNTIF($J$24:$J$24,"")+COUNTIF($J$24:$J$24,"TA")+COUNTIF($J$24:$J$24,"Z")</f>
        <v>1</v>
      </c>
      <c r="K23" s="13"/>
      <c r="L23" s="11">
        <f>COUNTIF($L$24:$L$24,"")+COUNTIF($L$24:$L$24,"TA")+COUNTIF($L$24:$L$24,"Z")</f>
        <v>1</v>
      </c>
      <c r="M23" s="13"/>
      <c r="N23" s="11">
        <f>COUNTIF($N$24:$N$24,"")+COUNTIF($N$24:$N$24,"TA")+COUNTIF($N$24:$N$24,"Z")</f>
        <v>1</v>
      </c>
      <c r="O23" s="13"/>
      <c r="P23" s="11">
        <f>COUNTIF($P$24:$P$24,"")+COUNTIF($P$24:$P$24,"TA")+COUNTIF($P$24:$P$24,"Z")</f>
        <v>1</v>
      </c>
      <c r="Q23" s="13"/>
      <c r="R23" s="11">
        <f>COUNTIF($R$24:$R$24,"")+COUNTIF($R$24:$R$24,"TA")+COUNTIF($R$24:$R$24,"Z")</f>
        <v>1</v>
      </c>
      <c r="S23" s="13"/>
      <c r="T23" s="11">
        <f>COUNTIF($T$24:$T$24,"")+COUNTIF($T$24:$T$24,"TA")+COUNTIF($T$24:$T$24,"Z")</f>
        <v>1</v>
      </c>
      <c r="U23" s="13"/>
      <c r="V23" s="11">
        <f>COUNTIF($V$24:$V$24,"")+COUNTIF($V$24:$V$24,"TA")+COUNTIF($V$24:$V$24,"Z")</f>
        <v>1</v>
      </c>
      <c r="W23" s="13"/>
      <c r="X23" s="11">
        <f>COUNTIF($X$24:$X$24,"")+COUNTIF($X$24:$X$24,"TA")+COUNTIF($X$24:$X$24,"Z")</f>
        <v>1</v>
      </c>
      <c r="Y23" s="13"/>
      <c r="Z23" s="11">
        <f>COUNTIF($Z$24:$Z$24,"")+COUNTIF($Z$24:$Z$24,"TA")+COUNTIF($Z$24:$Z$24,"Z")</f>
        <v>1</v>
      </c>
      <c r="AA23" s="13"/>
      <c r="AB23" s="11">
        <f>COUNTIF($AB$24:$AB$24,"")+COUNTIF($AB$24:$AB$24,"TA")+COUNTIF($AB$24:$AB$24,"Z")</f>
        <v>1</v>
      </c>
      <c r="AC23" s="13"/>
      <c r="AD23" s="11">
        <f>COUNTIF($AD$24:$AD$24,"")+COUNTIF($AD$24:$AD$24,"TA")+COUNTIF($AD$24:$AD$24,"Z")</f>
        <v>1</v>
      </c>
      <c r="AE23" s="13"/>
      <c r="AF23" s="11">
        <f>COUNTIF($AF$24:$AF$24,"")+COUNTIF($AF$24:$AF$24,"TA")+COUNTIF($AF$24:$AF$24,"Z")</f>
        <v>1</v>
      </c>
      <c r="AG23" s="13"/>
      <c r="AH23" s="11">
        <f>COUNTIF($AH$24:$AH$24,"")+COUNTIF($AH$24:$AH$24,"TA")+COUNTIF($AH$24:$AH$24,"Z")</f>
        <v>1</v>
      </c>
      <c r="AI23" s="13"/>
      <c r="AJ23" s="11">
        <f>COUNTIF($AJ$24:$AJ$24,"")+COUNTIF($AJ$24:$AJ$24,"TA")+COUNTIF($AJ$24:$AJ$24,"Z")</f>
        <v>1</v>
      </c>
      <c r="AK23" s="13"/>
      <c r="AL23" s="11">
        <f>COUNTIF($AL$24:$AL$24,"")+COUNTIF($AL$24:$AL$24,"TA")+COUNTIF($AL$24:$AL$24,"Z")</f>
        <v>1</v>
      </c>
      <c r="AM23" s="13"/>
      <c r="AN23" s="11">
        <f>COUNTIF($AN$24:$AN$24,"")+COUNTIF($AN$24:$AN$24,"TA")+COUNTIF($AN$24:$AN$24,"Z")</f>
        <v>1</v>
      </c>
      <c r="AO23" s="13"/>
      <c r="AP23" s="11">
        <f>COUNTIF($AP$24:$AP$24,"")+COUNTIF($AP$24:$AP$24,"TA")+COUNTIF($AP$24:$AP$24,"Z")</f>
        <v>1</v>
      </c>
      <c r="AQ23" s="13"/>
      <c r="AR23" s="11">
        <f>COUNTIF($AR$24:$AR$24,"")+COUNTIF($AR$24:$AR$24,"TA")+COUNTIF($AR$24:$AR$24,"Z")</f>
        <v>1</v>
      </c>
      <c r="AS23" s="13"/>
      <c r="AT23" s="11">
        <f>COUNTIF($AT$24:$AT$24,"")+COUNTIF($AT$24:$AT$24,"TA")+COUNTIF($AT$24:$AT$24,"Z")</f>
        <v>1</v>
      </c>
      <c r="AU23" s="13"/>
      <c r="AV23" s="11">
        <f>COUNTIF($AV$24:$AV$24,"")+COUNTIF($AV$24:$AV$24,"TA")+COUNTIF($AV$24:$AV$24,"Z")</f>
        <v>1</v>
      </c>
      <c r="AW23" s="13"/>
      <c r="AX23" s="11">
        <f>COUNTIF($AX$24:$AX$24,"")+COUNTIF($AX$24:$AX$24,"TA")+COUNTIF($AX$24:$AX$24,"Z")</f>
        <v>1</v>
      </c>
      <c r="AY23" s="13"/>
      <c r="AZ23" s="11">
        <f>COUNTIF($AZ$24:$AZ$24,"")+COUNTIF($AZ$24:$AZ$24,"TA")+COUNTIF($AZ$24:$AZ$24,"Z")</f>
        <v>1</v>
      </c>
      <c r="BA23" s="13"/>
      <c r="BB23" s="11">
        <f>COUNTIF($BB$24:$BB$24,"")+COUNTIF($BB$24:$BB$24,"TA")+COUNTIF($BB$24:$BB$24,"Z")</f>
        <v>1</v>
      </c>
      <c r="BC23" s="13"/>
      <c r="BD23" s="11">
        <f>COUNTIF($BD$24:$BD$24,"")+COUNTIF($BD$24:$BD$24,"TA")+COUNTIF($BD$24:$BD$24,"Z")</f>
        <v>1</v>
      </c>
      <c r="BE23" s="13"/>
      <c r="BF23" s="11">
        <f>COUNTIF($BF$24:$BF$24,"")+COUNTIF($BF$24:$BF$24,"TA")+COUNTIF($BF$24:$BF$24,"Z")</f>
        <v>1</v>
      </c>
      <c r="BG23" s="13"/>
      <c r="BH23" s="11">
        <f>COUNTIF($BH$24:$BH$24,"")+COUNTIF($BH$24:$BH$24,"TA")+COUNTIF($BH$24:$BH$24,"Z")</f>
        <v>1</v>
      </c>
      <c r="BI23" s="13"/>
      <c r="BJ23" s="11">
        <f>COUNTIF($BJ$24:$BJ$24,"")+COUNTIF($BJ$24:$BJ$24,"TA")+COUNTIF($BJ$24:$BJ$24,"Z")</f>
        <v>1</v>
      </c>
      <c r="BK23" s="13"/>
      <c r="BL23" s="11">
        <f>COUNTIF($BL$24:$BL$24,"")+COUNTIF($BL$24:$BL$24,"TA")+COUNTIF($BL$24:$BL$24,"Z")</f>
        <v>1</v>
      </c>
      <c r="BM23" s="13"/>
    </row>
    <row r="24" spans="2:65" x14ac:dyDescent="0.3">
      <c r="B24" s="12" t="s">
        <v>49</v>
      </c>
      <c r="C24" s="13" t="s">
        <v>63</v>
      </c>
      <c r="E24" s="13"/>
      <c r="G24" s="13"/>
      <c r="I24" s="13"/>
      <c r="K24" s="13"/>
      <c r="M24" s="13"/>
      <c r="O24" s="13"/>
      <c r="Q24" s="13"/>
      <c r="S24" s="13"/>
      <c r="U24" s="13"/>
      <c r="W24" s="13"/>
      <c r="Y24" s="13"/>
      <c r="AA24" s="13"/>
      <c r="AC24" s="13"/>
      <c r="AE24" s="13"/>
      <c r="AG24" s="13"/>
      <c r="AI24" s="13"/>
      <c r="AK24" s="13"/>
      <c r="AM24" s="13"/>
      <c r="AO24" s="13"/>
      <c r="AQ24" s="13"/>
      <c r="AS24" s="13"/>
      <c r="AU24" s="13"/>
      <c r="AW24" s="13"/>
      <c r="AY24" s="13"/>
      <c r="BA24" s="13"/>
      <c r="BC24" s="13"/>
      <c r="BE24" s="13"/>
      <c r="BG24" s="13"/>
      <c r="BI24" s="13"/>
      <c r="BK24" s="13"/>
      <c r="BM24" s="13"/>
    </row>
    <row r="25" spans="2:65" x14ac:dyDescent="0.3">
      <c r="B25" s="12">
        <f>COUNTIFS(Personen!A:A,"6",Personen!H:H,"Ja")</f>
        <v>1</v>
      </c>
      <c r="C25" s="13" t="s">
        <v>84</v>
      </c>
      <c r="D25" s="11">
        <f>COUNTIF($D$26:$D$26,"")+COUNTIF($D$26:$D$26,"TA")+COUNTIF($D$26:$D$26,"Z")</f>
        <v>1</v>
      </c>
      <c r="E25" s="13"/>
      <c r="F25" s="11">
        <f>COUNTIF($F$26:$F$26,"")+COUNTIF($F$26:$F$26,"TA")+COUNTIF($F$26:$F$26,"Z")</f>
        <v>1</v>
      </c>
      <c r="G25" s="13"/>
      <c r="H25" s="11">
        <f>COUNTIF($H$26:$H$26,"")+COUNTIF($H$26:$H$26,"TA")+COUNTIF($H$26:$H$26,"Z")</f>
        <v>1</v>
      </c>
      <c r="I25" s="13"/>
      <c r="J25" s="11">
        <f>COUNTIF($J$26:$J$26,"")+COUNTIF($J$26:$J$26,"TA")+COUNTIF($J$26:$J$26,"Z")</f>
        <v>1</v>
      </c>
      <c r="K25" s="13"/>
      <c r="L25" s="11">
        <f>COUNTIF($L$26:$L$26,"")+COUNTIF($L$26:$L$26,"TA")+COUNTIF($L$26:$L$26,"Z")</f>
        <v>1</v>
      </c>
      <c r="M25" s="13"/>
      <c r="N25" s="11">
        <f>COUNTIF($N$26:$N$26,"")+COUNTIF($N$26:$N$26,"TA")+COUNTIF($N$26:$N$26,"Z")</f>
        <v>1</v>
      </c>
      <c r="O25" s="13"/>
      <c r="P25" s="11">
        <f>COUNTIF($P$26:$P$26,"")+COUNTIF($P$26:$P$26,"TA")+COUNTIF($P$26:$P$26,"Z")</f>
        <v>1</v>
      </c>
      <c r="Q25" s="13"/>
      <c r="R25" s="11">
        <f>COUNTIF($R$26:$R$26,"")+COUNTIF($R$26:$R$26,"TA")+COUNTIF($R$26:$R$26,"Z")</f>
        <v>1</v>
      </c>
      <c r="S25" s="13"/>
      <c r="T25" s="11">
        <f>COUNTIF($T$26:$T$26,"")+COUNTIF($T$26:$T$26,"TA")+COUNTIF($T$26:$T$26,"Z")</f>
        <v>1</v>
      </c>
      <c r="U25" s="13"/>
      <c r="V25" s="11">
        <f>COUNTIF($V$26:$V$26,"")+COUNTIF($V$26:$V$26,"TA")+COUNTIF($V$26:$V$26,"Z")</f>
        <v>1</v>
      </c>
      <c r="W25" s="13"/>
      <c r="X25" s="11">
        <f>COUNTIF($X$26:$X$26,"")+COUNTIF($X$26:$X$26,"TA")+COUNTIF($X$26:$X$26,"Z")</f>
        <v>1</v>
      </c>
      <c r="Y25" s="13"/>
      <c r="Z25" s="11">
        <f>COUNTIF($Z$26:$Z$26,"")+COUNTIF($Z$26:$Z$26,"TA")+COUNTIF($Z$26:$Z$26,"Z")</f>
        <v>1</v>
      </c>
      <c r="AA25" s="13"/>
      <c r="AB25" s="11">
        <f>COUNTIF($AB$26:$AB$26,"")+COUNTIF($AB$26:$AB$26,"TA")+COUNTIF($AB$26:$AB$26,"Z")</f>
        <v>1</v>
      </c>
      <c r="AC25" s="13"/>
      <c r="AD25" s="11">
        <f>COUNTIF($AD$26:$AD$26,"")+COUNTIF($AD$26:$AD$26,"TA")+COUNTIF($AD$26:$AD$26,"Z")</f>
        <v>1</v>
      </c>
      <c r="AE25" s="13"/>
      <c r="AF25" s="11">
        <f>COUNTIF($AF$26:$AF$26,"")+COUNTIF($AF$26:$AF$26,"TA")+COUNTIF($AF$26:$AF$26,"Z")</f>
        <v>1</v>
      </c>
      <c r="AG25" s="13"/>
      <c r="AH25" s="11">
        <f>COUNTIF($AH$26:$AH$26,"")+COUNTIF($AH$26:$AH$26,"TA")+COUNTIF($AH$26:$AH$26,"Z")</f>
        <v>1</v>
      </c>
      <c r="AI25" s="13"/>
      <c r="AJ25" s="11">
        <f>COUNTIF($AJ$26:$AJ$26,"")+COUNTIF($AJ$26:$AJ$26,"TA")+COUNTIF($AJ$26:$AJ$26,"Z")</f>
        <v>1</v>
      </c>
      <c r="AK25" s="13"/>
      <c r="AL25" s="11">
        <f>COUNTIF($AL$26:$AL$26,"")+COUNTIF($AL$26:$AL$26,"TA")+COUNTIF($AL$26:$AL$26,"Z")</f>
        <v>1</v>
      </c>
      <c r="AM25" s="13"/>
      <c r="AN25" s="11">
        <f>COUNTIF($AN$26:$AN$26,"")+COUNTIF($AN$26:$AN$26,"TA")+COUNTIF($AN$26:$AN$26,"Z")</f>
        <v>1</v>
      </c>
      <c r="AO25" s="13"/>
      <c r="AP25" s="11">
        <f>COUNTIF($AP$26:$AP$26,"")+COUNTIF($AP$26:$AP$26,"TA")+COUNTIF($AP$26:$AP$26,"Z")</f>
        <v>1</v>
      </c>
      <c r="AQ25" s="13"/>
      <c r="AR25" s="11">
        <f>COUNTIF($AR$26:$AR$26,"")+COUNTIF($AR$26:$AR$26,"TA")+COUNTIF($AR$26:$AR$26,"Z")</f>
        <v>1</v>
      </c>
      <c r="AS25" s="13"/>
      <c r="AT25" s="11">
        <f>COUNTIF($AT$26:$AT$26,"")+COUNTIF($AT$26:$AT$26,"TA")+COUNTIF($AT$26:$AT$26,"Z")</f>
        <v>1</v>
      </c>
      <c r="AU25" s="13"/>
      <c r="AV25" s="11">
        <f>COUNTIF($AV$26:$AV$26,"")+COUNTIF($AV$26:$AV$26,"TA")+COUNTIF($AV$26:$AV$26,"Z")</f>
        <v>1</v>
      </c>
      <c r="AW25" s="13"/>
      <c r="AX25" s="11">
        <f>COUNTIF($AX$26:$AX$26,"")+COUNTIF($AX$26:$AX$26,"TA")+COUNTIF($AX$26:$AX$26,"Z")</f>
        <v>1</v>
      </c>
      <c r="AY25" s="13"/>
      <c r="AZ25" s="11">
        <f>COUNTIF($AZ$26:$AZ$26,"")+COUNTIF($AZ$26:$AZ$26,"TA")+COUNTIF($AZ$26:$AZ$26,"Z")</f>
        <v>1</v>
      </c>
      <c r="BA25" s="13"/>
      <c r="BB25" s="11">
        <f>COUNTIF($BB$26:$BB$26,"")+COUNTIF($BB$26:$BB$26,"TA")+COUNTIF($BB$26:$BB$26,"Z")</f>
        <v>1</v>
      </c>
      <c r="BC25" s="13"/>
      <c r="BD25" s="11">
        <f>COUNTIF($BD$26:$BD$26,"")+COUNTIF($BD$26:$BD$26,"TA")+COUNTIF($BD$26:$BD$26,"Z")</f>
        <v>1</v>
      </c>
      <c r="BE25" s="13"/>
      <c r="BF25" s="11">
        <f>COUNTIF($BF$26:$BF$26,"")+COUNTIF($BF$26:$BF$26,"TA")+COUNTIF($BF$26:$BF$26,"Z")</f>
        <v>1</v>
      </c>
      <c r="BG25" s="13"/>
      <c r="BH25" s="11">
        <f>COUNTIF($BH$26:$BH$26,"")+COUNTIF($BH$26:$BH$26,"TA")+COUNTIF($BH$26:$BH$26,"Z")</f>
        <v>1</v>
      </c>
      <c r="BI25" s="13"/>
      <c r="BJ25" s="11">
        <f>COUNTIF($BJ$26:$BJ$26,"")+COUNTIF($BJ$26:$BJ$26,"TA")+COUNTIF($BJ$26:$BJ$26,"Z")</f>
        <v>1</v>
      </c>
      <c r="BK25" s="13"/>
      <c r="BL25" s="11">
        <f>COUNTIF($BL$26:$BL$26,"")+COUNTIF($BL$26:$BL$26,"TA")+COUNTIF($BL$26:$BL$26,"Z")</f>
        <v>1</v>
      </c>
      <c r="BM25" s="13"/>
    </row>
    <row r="26" spans="2:65" x14ac:dyDescent="0.3">
      <c r="B26" s="12" t="s">
        <v>89</v>
      </c>
      <c r="C26" s="13" t="s">
        <v>87</v>
      </c>
      <c r="E26" s="13"/>
      <c r="G26" s="13"/>
      <c r="I26" s="13"/>
      <c r="K26" s="13"/>
      <c r="M26" s="13"/>
      <c r="O26" s="13"/>
      <c r="Q26" s="13"/>
      <c r="S26" s="13"/>
      <c r="U26" s="13"/>
      <c r="W26" s="13"/>
      <c r="Y26" s="13"/>
      <c r="AA26" s="13"/>
      <c r="AC26" s="13"/>
      <c r="AE26" s="13"/>
      <c r="AG26" s="13"/>
      <c r="AI26" s="13"/>
      <c r="AK26" s="13"/>
      <c r="AM26" s="13"/>
      <c r="AO26" s="13"/>
      <c r="AQ26" s="13"/>
      <c r="AS26" s="13"/>
      <c r="AU26" s="13"/>
      <c r="AW26" s="13"/>
      <c r="AY26" s="13"/>
      <c r="BA26" s="13"/>
      <c r="BC26" s="13"/>
      <c r="BE26" s="13"/>
      <c r="BG26" s="13"/>
      <c r="BI26" s="13"/>
      <c r="BK26" s="13"/>
      <c r="BM26" s="13"/>
    </row>
    <row r="27" spans="2:65" x14ac:dyDescent="0.3">
      <c r="B27" s="20"/>
      <c r="C27" s="21" t="s">
        <v>65</v>
      </c>
      <c r="E27" s="13"/>
      <c r="G27" s="13"/>
      <c r="I27" s="13"/>
      <c r="K27" s="13"/>
      <c r="M27" s="13"/>
      <c r="O27" s="13"/>
      <c r="Q27" s="13"/>
      <c r="S27" s="13"/>
      <c r="U27" s="13"/>
      <c r="W27" s="13"/>
      <c r="Y27" s="13"/>
      <c r="AA27" s="13"/>
      <c r="AB27" s="26" t="s">
        <v>90</v>
      </c>
      <c r="AC27" s="27"/>
      <c r="AD27" s="26" t="s">
        <v>90</v>
      </c>
      <c r="AE27" s="27"/>
      <c r="AF27" s="26" t="s">
        <v>90</v>
      </c>
      <c r="AG27" s="27"/>
      <c r="AH27" s="26" t="s">
        <v>90</v>
      </c>
      <c r="AI27" s="27"/>
      <c r="AJ27" s="26" t="s">
        <v>90</v>
      </c>
      <c r="AK27" s="27"/>
      <c r="AL27" s="26" t="s">
        <v>90</v>
      </c>
      <c r="AM27" s="27"/>
      <c r="AN27" s="26" t="s">
        <v>90</v>
      </c>
      <c r="AO27" s="27"/>
      <c r="AP27" s="26" t="s">
        <v>90</v>
      </c>
      <c r="AQ27" s="27"/>
      <c r="AS27" s="13"/>
      <c r="AU27" s="13"/>
      <c r="AW27" s="13"/>
      <c r="AY27" s="13"/>
      <c r="BA27" s="13"/>
      <c r="BC27" s="13"/>
      <c r="BE27" s="13"/>
      <c r="BG27" s="13"/>
      <c r="BI27" s="13"/>
      <c r="BK27" s="13"/>
      <c r="BM27" s="13"/>
    </row>
    <row r="28" spans="2:65" x14ac:dyDescent="0.3">
      <c r="C28" s="13"/>
      <c r="E28" s="13"/>
      <c r="G28" s="13"/>
      <c r="I28" s="13"/>
      <c r="K28" s="13"/>
      <c r="M28" s="13"/>
      <c r="O28" s="13"/>
      <c r="Q28" s="13"/>
      <c r="S28" s="13"/>
      <c r="U28" s="13"/>
      <c r="W28" s="13"/>
      <c r="Y28" s="13"/>
      <c r="AA28" s="13"/>
      <c r="AC28" s="13"/>
      <c r="AE28" s="13"/>
      <c r="AG28" s="13"/>
      <c r="AI28" s="13"/>
      <c r="AK28" s="13"/>
      <c r="AM28" s="13"/>
      <c r="AO28" s="13"/>
      <c r="AQ28" s="13"/>
      <c r="AS28" s="13"/>
      <c r="AU28" s="13"/>
      <c r="AW28" s="13"/>
      <c r="AY28" s="13"/>
      <c r="BA28" s="13"/>
      <c r="BC28" s="13"/>
      <c r="BE28" s="13"/>
      <c r="BG28" s="13"/>
      <c r="BI28" s="13"/>
      <c r="BK28" s="13"/>
      <c r="BM28" s="13"/>
    </row>
    <row r="29" spans="2:65" x14ac:dyDescent="0.3">
      <c r="C29" s="13"/>
      <c r="E29" s="13"/>
      <c r="G29" s="13"/>
      <c r="I29" s="13"/>
      <c r="K29" s="13"/>
      <c r="M29" s="13"/>
      <c r="O29" s="13"/>
      <c r="Q29" s="13"/>
      <c r="S29" s="13"/>
      <c r="U29" s="13"/>
      <c r="W29" s="13"/>
      <c r="Y29" s="13"/>
      <c r="AA29" s="13"/>
      <c r="AC29" s="13"/>
      <c r="AE29" s="13"/>
      <c r="AG29" s="13"/>
      <c r="AI29" s="13"/>
      <c r="AK29" s="13"/>
      <c r="AM29" s="13"/>
      <c r="AO29" s="13"/>
      <c r="AQ29" s="13"/>
      <c r="AS29" s="13"/>
      <c r="AU29" s="13"/>
      <c r="AW29" s="13"/>
      <c r="AY29" s="13"/>
      <c r="BA29" s="13"/>
      <c r="BC29" s="13"/>
      <c r="BE29" s="13"/>
      <c r="BG29" s="13"/>
      <c r="BI29" s="13"/>
      <c r="BK29" s="13"/>
      <c r="BM29" s="13"/>
    </row>
    <row r="30" spans="2:65" x14ac:dyDescent="0.3">
      <c r="C30" s="13"/>
      <c r="E30" s="13"/>
      <c r="G30" s="13"/>
      <c r="I30" s="13"/>
      <c r="K30" s="13"/>
      <c r="M30" s="13"/>
      <c r="O30" s="13"/>
      <c r="Q30" s="13"/>
      <c r="S30" s="13"/>
      <c r="U30" s="13"/>
      <c r="W30" s="13"/>
      <c r="Y30" s="13"/>
      <c r="AA30" s="13"/>
      <c r="AC30" s="13"/>
      <c r="AE30" s="13"/>
      <c r="AG30" s="13"/>
      <c r="AI30" s="13"/>
      <c r="AK30" s="13"/>
      <c r="AM30" s="13"/>
      <c r="AO30" s="13"/>
      <c r="AQ30" s="13"/>
      <c r="AS30" s="13"/>
      <c r="AU30" s="13"/>
      <c r="AW30" s="13"/>
      <c r="AY30" s="13"/>
      <c r="BA30" s="13"/>
      <c r="BC30" s="13"/>
      <c r="BE30" s="13"/>
      <c r="BG30" s="13"/>
      <c r="BI30" s="13"/>
      <c r="BK30" s="13"/>
      <c r="BM30" s="13"/>
    </row>
    <row r="31" spans="2:65" x14ac:dyDescent="0.3">
      <c r="C31" s="13"/>
      <c r="E31" s="13"/>
      <c r="G31" s="13"/>
      <c r="I31" s="13"/>
      <c r="K31" s="13"/>
      <c r="M31" s="13"/>
      <c r="O31" s="13"/>
      <c r="Q31" s="13"/>
      <c r="S31" s="13"/>
      <c r="U31" s="13"/>
      <c r="W31" s="13"/>
      <c r="Y31" s="13"/>
      <c r="AA31" s="13"/>
      <c r="AC31" s="13"/>
      <c r="AE31" s="13"/>
      <c r="AG31" s="13"/>
      <c r="AI31" s="13"/>
      <c r="AK31" s="13"/>
      <c r="AM31" s="13"/>
      <c r="AO31" s="13"/>
      <c r="AQ31" s="13"/>
      <c r="AS31" s="13"/>
      <c r="AU31" s="13"/>
      <c r="AW31" s="13"/>
      <c r="AY31" s="13"/>
      <c r="BA31" s="13"/>
      <c r="BC31" s="13"/>
      <c r="BE31" s="13"/>
      <c r="BG31" s="13"/>
      <c r="BI31" s="13"/>
      <c r="BK31" s="13"/>
      <c r="BM31" s="13"/>
    </row>
    <row r="32" spans="2:65" x14ac:dyDescent="0.3">
      <c r="C32" s="13"/>
      <c r="E32" s="13"/>
      <c r="G32" s="13"/>
      <c r="I32" s="13"/>
      <c r="K32" s="13"/>
      <c r="M32" s="13"/>
      <c r="O32" s="13"/>
      <c r="Q32" s="13"/>
      <c r="S32" s="13"/>
      <c r="U32" s="13"/>
      <c r="W32" s="13"/>
      <c r="Y32" s="13"/>
      <c r="AA32" s="13"/>
      <c r="AC32" s="13"/>
      <c r="AE32" s="13"/>
      <c r="AG32" s="13"/>
      <c r="AI32" s="13"/>
      <c r="AK32" s="13"/>
      <c r="AM32" s="13"/>
      <c r="AO32" s="13"/>
      <c r="AQ32" s="13"/>
      <c r="AS32" s="13"/>
      <c r="AU32" s="13"/>
      <c r="AW32" s="13"/>
      <c r="AY32" s="13"/>
      <c r="BA32" s="13"/>
      <c r="BC32" s="13"/>
      <c r="BE32" s="13"/>
      <c r="BG32" s="13"/>
      <c r="BI32" s="13"/>
      <c r="BK32" s="13"/>
      <c r="BM32" s="13"/>
    </row>
    <row r="33" spans="3:65" x14ac:dyDescent="0.3">
      <c r="C33" s="13"/>
      <c r="E33" s="13"/>
      <c r="G33" s="13"/>
      <c r="I33" s="13"/>
      <c r="K33" s="13"/>
      <c r="M33" s="13"/>
      <c r="O33" s="13"/>
      <c r="Q33" s="13"/>
      <c r="S33" s="13"/>
      <c r="U33" s="13"/>
      <c r="W33" s="13"/>
      <c r="Y33" s="13"/>
      <c r="AA33" s="13"/>
      <c r="AC33" s="13"/>
      <c r="AE33" s="13"/>
      <c r="AG33" s="13"/>
      <c r="AI33" s="13"/>
      <c r="AK33" s="13"/>
      <c r="AM33" s="13"/>
      <c r="AO33" s="13"/>
      <c r="AQ33" s="13"/>
      <c r="AS33" s="13"/>
      <c r="AU33" s="13"/>
      <c r="AW33" s="13"/>
      <c r="AY33" s="13"/>
      <c r="BA33" s="13"/>
      <c r="BC33" s="13"/>
      <c r="BE33" s="13"/>
      <c r="BG33" s="13"/>
      <c r="BI33" s="13"/>
      <c r="BK33" s="13"/>
      <c r="BM33" s="13"/>
    </row>
    <row r="34" spans="3:65" x14ac:dyDescent="0.3">
      <c r="C34" s="13"/>
      <c r="E34" s="13"/>
      <c r="G34" s="13"/>
      <c r="I34" s="13"/>
      <c r="K34" s="13"/>
      <c r="M34" s="13"/>
      <c r="O34" s="13"/>
      <c r="Q34" s="13"/>
      <c r="S34" s="13"/>
      <c r="U34" s="13"/>
      <c r="W34" s="13"/>
      <c r="Y34" s="13"/>
      <c r="AA34" s="13"/>
      <c r="AC34" s="13"/>
      <c r="AE34" s="13"/>
      <c r="AG34" s="13"/>
      <c r="AI34" s="13"/>
      <c r="AK34" s="13"/>
      <c r="AM34" s="13"/>
      <c r="AO34" s="13"/>
      <c r="AQ34" s="13"/>
      <c r="AS34" s="13"/>
      <c r="AU34" s="13"/>
      <c r="AW34" s="13"/>
      <c r="AY34" s="13"/>
      <c r="BA34" s="13"/>
      <c r="BC34" s="13"/>
      <c r="BE34" s="13"/>
      <c r="BG34" s="13"/>
      <c r="BI34" s="13"/>
      <c r="BK34" s="13"/>
      <c r="BM34" s="13"/>
    </row>
    <row r="35" spans="3:65" x14ac:dyDescent="0.3">
      <c r="C35" s="13"/>
      <c r="E35" s="13"/>
      <c r="G35" s="13"/>
      <c r="I35" s="13"/>
      <c r="K35" s="13"/>
      <c r="M35" s="13"/>
      <c r="O35" s="13"/>
      <c r="Q35" s="13"/>
      <c r="S35" s="13"/>
      <c r="U35" s="13"/>
      <c r="W35" s="13"/>
      <c r="Y35" s="13"/>
      <c r="AA35" s="13"/>
      <c r="AC35" s="13"/>
      <c r="AE35" s="13"/>
      <c r="AG35" s="13"/>
      <c r="AI35" s="13"/>
      <c r="AK35" s="13"/>
      <c r="AM35" s="13"/>
      <c r="AO35" s="13"/>
      <c r="AQ35" s="13"/>
      <c r="AS35" s="13"/>
      <c r="AU35" s="13"/>
      <c r="AW35" s="13"/>
      <c r="AY35" s="13"/>
      <c r="BA35" s="13"/>
      <c r="BC35" s="13"/>
      <c r="BE35" s="13"/>
      <c r="BG35" s="13"/>
      <c r="BI35" s="13"/>
      <c r="BK35" s="13"/>
      <c r="BM35" s="13"/>
    </row>
    <row r="36" spans="3:65" x14ac:dyDescent="0.3">
      <c r="C36" s="13"/>
      <c r="E36" s="13"/>
      <c r="G36" s="13"/>
      <c r="I36" s="13"/>
      <c r="K36" s="13"/>
      <c r="M36" s="13"/>
      <c r="O36" s="13"/>
      <c r="Q36" s="13"/>
      <c r="S36" s="13"/>
      <c r="U36" s="13"/>
      <c r="W36" s="13"/>
      <c r="Y36" s="13"/>
      <c r="AA36" s="13"/>
      <c r="AC36" s="13"/>
      <c r="AE36" s="13"/>
      <c r="AG36" s="13"/>
      <c r="AI36" s="13"/>
      <c r="AK36" s="13"/>
      <c r="AM36" s="13"/>
      <c r="AO36" s="13"/>
      <c r="AQ36" s="13"/>
      <c r="AS36" s="13"/>
      <c r="AU36" s="13"/>
      <c r="AW36" s="13"/>
      <c r="AY36" s="13"/>
      <c r="BA36" s="13"/>
      <c r="BC36" s="13"/>
      <c r="BE36" s="13"/>
      <c r="BG36" s="13"/>
      <c r="BI36" s="13"/>
      <c r="BK36" s="13"/>
      <c r="BM36" s="13"/>
    </row>
    <row r="37" spans="3:65" x14ac:dyDescent="0.3">
      <c r="C37" s="13"/>
      <c r="E37" s="13"/>
      <c r="G37" s="13"/>
      <c r="I37" s="13"/>
      <c r="K37" s="13"/>
      <c r="M37" s="13"/>
      <c r="O37" s="13"/>
      <c r="Q37" s="13"/>
      <c r="S37" s="13"/>
      <c r="U37" s="13"/>
      <c r="W37" s="13"/>
      <c r="Y37" s="13"/>
      <c r="AA37" s="13"/>
      <c r="AC37" s="13"/>
      <c r="AE37" s="13"/>
      <c r="AG37" s="13"/>
      <c r="AI37" s="13"/>
      <c r="AK37" s="13"/>
      <c r="AM37" s="13"/>
      <c r="AO37" s="13"/>
      <c r="AQ37" s="13"/>
      <c r="AS37" s="13"/>
      <c r="AU37" s="13"/>
      <c r="AW37" s="13"/>
      <c r="AY37" s="13"/>
      <c r="BA37" s="13"/>
      <c r="BC37" s="13"/>
      <c r="BE37" s="13"/>
      <c r="BG37" s="13"/>
      <c r="BI37" s="13"/>
      <c r="BK37" s="13"/>
      <c r="BM37" s="13"/>
    </row>
    <row r="38" spans="3:65" x14ac:dyDescent="0.3">
      <c r="C38" s="13"/>
      <c r="E38" s="13"/>
      <c r="G38" s="13"/>
      <c r="I38" s="13"/>
      <c r="K38" s="13"/>
      <c r="M38" s="13"/>
      <c r="O38" s="13"/>
      <c r="Q38" s="13"/>
      <c r="S38" s="13"/>
      <c r="U38" s="13"/>
      <c r="W38" s="13"/>
      <c r="Y38" s="13"/>
      <c r="AA38" s="13"/>
      <c r="AC38" s="13"/>
      <c r="AE38" s="13"/>
      <c r="AG38" s="13"/>
      <c r="AI38" s="13"/>
      <c r="AK38" s="13"/>
      <c r="AM38" s="13"/>
      <c r="AO38" s="13"/>
      <c r="AQ38" s="13"/>
      <c r="AS38" s="13"/>
      <c r="AU38" s="13"/>
      <c r="AW38" s="13"/>
      <c r="AY38" s="13"/>
      <c r="BA38" s="13"/>
      <c r="BC38" s="13"/>
      <c r="BE38" s="13"/>
      <c r="BG38" s="13"/>
      <c r="BI38" s="13"/>
      <c r="BK38" s="13"/>
      <c r="BM38" s="13"/>
    </row>
    <row r="39" spans="3:65" x14ac:dyDescent="0.3">
      <c r="C39" s="13"/>
      <c r="E39" s="13"/>
      <c r="G39" s="13"/>
      <c r="I39" s="13"/>
      <c r="K39" s="13"/>
      <c r="M39" s="13"/>
      <c r="O39" s="13"/>
      <c r="Q39" s="13"/>
      <c r="S39" s="13"/>
      <c r="U39" s="13"/>
      <c r="W39" s="13"/>
      <c r="Y39" s="13"/>
      <c r="AA39" s="13"/>
      <c r="AC39" s="13"/>
      <c r="AE39" s="13"/>
      <c r="AG39" s="13"/>
      <c r="AI39" s="13"/>
      <c r="AK39" s="13"/>
      <c r="AM39" s="13"/>
      <c r="AO39" s="13"/>
      <c r="AQ39" s="13"/>
      <c r="AS39" s="13"/>
      <c r="AU39" s="13"/>
      <c r="AW39" s="13"/>
      <c r="AY39" s="13"/>
      <c r="BA39" s="13"/>
      <c r="BC39" s="13"/>
      <c r="BE39" s="13"/>
      <c r="BG39" s="13"/>
      <c r="BI39" s="13"/>
      <c r="BK39" s="13"/>
      <c r="BM39" s="13"/>
    </row>
    <row r="40" spans="3:65" x14ac:dyDescent="0.3">
      <c r="C40" s="13"/>
      <c r="E40" s="13"/>
      <c r="G40" s="13"/>
      <c r="I40" s="13"/>
      <c r="K40" s="13"/>
      <c r="M40" s="13"/>
      <c r="O40" s="13"/>
      <c r="Q40" s="13"/>
      <c r="S40" s="13"/>
      <c r="U40" s="13"/>
      <c r="W40" s="13"/>
      <c r="Y40" s="13"/>
      <c r="AA40" s="13"/>
      <c r="AC40" s="13"/>
      <c r="AE40" s="13"/>
      <c r="AG40" s="13"/>
      <c r="AI40" s="13"/>
      <c r="AK40" s="13"/>
      <c r="AM40" s="13"/>
      <c r="AO40" s="13"/>
      <c r="AQ40" s="13"/>
      <c r="AS40" s="13"/>
      <c r="AU40" s="13"/>
      <c r="AW40" s="13"/>
      <c r="AY40" s="13"/>
      <c r="BA40" s="13"/>
      <c r="BC40" s="13"/>
      <c r="BE40" s="13"/>
      <c r="BG40" s="13"/>
      <c r="BI40" s="13"/>
      <c r="BK40" s="13"/>
      <c r="BM40" s="13"/>
    </row>
    <row r="41" spans="3:65" x14ac:dyDescent="0.3">
      <c r="C41" s="13"/>
      <c r="E41" s="13"/>
      <c r="G41" s="13"/>
      <c r="I41" s="13"/>
      <c r="K41" s="13"/>
      <c r="M41" s="13"/>
      <c r="O41" s="13"/>
      <c r="Q41" s="13"/>
      <c r="S41" s="13"/>
      <c r="U41" s="13"/>
      <c r="W41" s="13"/>
      <c r="Y41" s="13"/>
      <c r="AA41" s="13"/>
      <c r="AC41" s="13"/>
      <c r="AE41" s="13"/>
      <c r="AG41" s="13"/>
      <c r="AI41" s="13"/>
      <c r="AK41" s="13"/>
      <c r="AM41" s="13"/>
      <c r="AO41" s="13"/>
      <c r="AQ41" s="13"/>
      <c r="AS41" s="13"/>
      <c r="AU41" s="13"/>
      <c r="AW41" s="13"/>
      <c r="AY41" s="13"/>
      <c r="BA41" s="13"/>
      <c r="BC41" s="13"/>
      <c r="BE41" s="13"/>
      <c r="BG41" s="13"/>
      <c r="BI41" s="13"/>
      <c r="BK41" s="13"/>
      <c r="BM41" s="13"/>
    </row>
    <row r="42" spans="3:65" x14ac:dyDescent="0.3">
      <c r="C42" s="13"/>
      <c r="E42" s="13"/>
      <c r="G42" s="13"/>
      <c r="I42" s="13"/>
      <c r="K42" s="13"/>
      <c r="M42" s="13"/>
      <c r="O42" s="13"/>
      <c r="Q42" s="13"/>
      <c r="S42" s="13"/>
      <c r="U42" s="13"/>
      <c r="W42" s="13"/>
      <c r="Y42" s="13"/>
      <c r="AA42" s="13"/>
      <c r="AC42" s="13"/>
      <c r="AE42" s="13"/>
      <c r="AG42" s="13"/>
      <c r="AI42" s="13"/>
      <c r="AK42" s="13"/>
      <c r="AM42" s="13"/>
      <c r="AO42" s="13"/>
      <c r="AQ42" s="13"/>
      <c r="AS42" s="13"/>
      <c r="AU42" s="13"/>
      <c r="AW42" s="13"/>
      <c r="AY42" s="13"/>
      <c r="BA42" s="13"/>
      <c r="BC42" s="13"/>
      <c r="BE42" s="13"/>
      <c r="BG42" s="13"/>
      <c r="BI42" s="13"/>
      <c r="BK42" s="13"/>
      <c r="BM42" s="13"/>
    </row>
    <row r="43" spans="3:65" x14ac:dyDescent="0.3">
      <c r="C43" s="13"/>
      <c r="E43" s="13"/>
      <c r="G43" s="13"/>
      <c r="I43" s="13"/>
      <c r="K43" s="13"/>
      <c r="M43" s="13"/>
      <c r="O43" s="13"/>
      <c r="Q43" s="13"/>
      <c r="S43" s="13"/>
      <c r="U43" s="13"/>
      <c r="W43" s="13"/>
      <c r="Y43" s="13"/>
      <c r="AA43" s="13"/>
      <c r="AC43" s="13"/>
      <c r="AE43" s="13"/>
      <c r="AG43" s="13"/>
      <c r="AI43" s="13"/>
      <c r="AK43" s="13"/>
      <c r="AM43" s="13"/>
      <c r="AO43" s="13"/>
      <c r="AQ43" s="13"/>
      <c r="AS43" s="13"/>
      <c r="AU43" s="13"/>
      <c r="AW43" s="13"/>
      <c r="AY43" s="13"/>
      <c r="BA43" s="13"/>
      <c r="BC43" s="13"/>
      <c r="BE43" s="13"/>
      <c r="BG43" s="13"/>
      <c r="BI43" s="13"/>
      <c r="BK43" s="13"/>
      <c r="BM43" s="13"/>
    </row>
    <row r="44" spans="3:65" x14ac:dyDescent="0.3">
      <c r="C44" s="13"/>
      <c r="E44" s="13"/>
      <c r="G44" s="13"/>
      <c r="I44" s="13"/>
      <c r="K44" s="13"/>
      <c r="M44" s="13"/>
      <c r="O44" s="13"/>
      <c r="Q44" s="13"/>
      <c r="S44" s="13"/>
      <c r="U44" s="13"/>
      <c r="W44" s="13"/>
      <c r="Y44" s="13"/>
      <c r="AA44" s="13"/>
      <c r="AC44" s="13"/>
      <c r="AE44" s="13"/>
      <c r="AG44" s="13"/>
      <c r="AI44" s="13"/>
      <c r="AK44" s="13"/>
      <c r="AM44" s="13"/>
      <c r="AO44" s="13"/>
      <c r="AQ44" s="13"/>
      <c r="AS44" s="13"/>
      <c r="AU44" s="13"/>
      <c r="AW44" s="13"/>
      <c r="AY44" s="13"/>
      <c r="BA44" s="13"/>
      <c r="BC44" s="13"/>
      <c r="BE44" s="13"/>
      <c r="BG44" s="13"/>
      <c r="BI44" s="13"/>
      <c r="BK44" s="13"/>
      <c r="BM44" s="13"/>
    </row>
    <row r="45" spans="3:65" x14ac:dyDescent="0.3">
      <c r="C45" s="13"/>
      <c r="E45" s="13"/>
      <c r="G45" s="13"/>
      <c r="I45" s="13"/>
      <c r="K45" s="13"/>
      <c r="M45" s="13"/>
      <c r="O45" s="13"/>
      <c r="Q45" s="13"/>
      <c r="S45" s="13"/>
      <c r="U45" s="13"/>
      <c r="W45" s="13"/>
      <c r="Y45" s="13"/>
      <c r="AA45" s="13"/>
      <c r="AC45" s="13"/>
      <c r="AE45" s="13"/>
      <c r="AG45" s="13"/>
      <c r="AI45" s="13"/>
      <c r="AK45" s="13"/>
      <c r="AM45" s="13"/>
      <c r="AO45" s="13"/>
      <c r="AQ45" s="13"/>
      <c r="AS45" s="13"/>
      <c r="AU45" s="13"/>
      <c r="AW45" s="13"/>
      <c r="AY45" s="13"/>
      <c r="BA45" s="13"/>
      <c r="BC45" s="13"/>
      <c r="BE45" s="13"/>
      <c r="BG45" s="13"/>
      <c r="BI45" s="13"/>
      <c r="BK45" s="13"/>
      <c r="BM45" s="13"/>
    </row>
    <row r="46" spans="3:65" x14ac:dyDescent="0.3">
      <c r="C46" s="13"/>
      <c r="E46" s="13"/>
      <c r="G46" s="13"/>
      <c r="I46" s="13"/>
      <c r="K46" s="13"/>
      <c r="M46" s="13"/>
      <c r="O46" s="13"/>
      <c r="Q46" s="13"/>
      <c r="S46" s="13"/>
      <c r="U46" s="13"/>
      <c r="W46" s="13"/>
      <c r="Y46" s="13"/>
      <c r="AA46" s="13"/>
      <c r="AC46" s="13"/>
      <c r="AE46" s="13"/>
      <c r="AG46" s="13"/>
      <c r="AI46" s="13"/>
      <c r="AK46" s="13"/>
      <c r="AM46" s="13"/>
      <c r="AO46" s="13"/>
      <c r="AQ46" s="13"/>
      <c r="AS46" s="13"/>
      <c r="AU46" s="13"/>
      <c r="AW46" s="13"/>
      <c r="AY46" s="13"/>
      <c r="BA46" s="13"/>
      <c r="BC46" s="13"/>
      <c r="BE46" s="13"/>
      <c r="BG46" s="13"/>
      <c r="BI46" s="13"/>
      <c r="BK46" s="13"/>
      <c r="BM46" s="13"/>
    </row>
    <row r="47" spans="3:65" x14ac:dyDescent="0.3">
      <c r="C47" s="13"/>
      <c r="E47" s="13"/>
      <c r="G47" s="13"/>
      <c r="I47" s="13"/>
      <c r="K47" s="13"/>
      <c r="M47" s="13"/>
      <c r="O47" s="13"/>
      <c r="Q47" s="13"/>
      <c r="S47" s="13"/>
      <c r="U47" s="13"/>
      <c r="W47" s="13"/>
      <c r="Y47" s="13"/>
      <c r="AA47" s="13"/>
      <c r="AC47" s="13"/>
      <c r="AE47" s="13"/>
      <c r="AG47" s="13"/>
      <c r="AI47" s="13"/>
      <c r="AK47" s="13"/>
      <c r="AM47" s="13"/>
      <c r="AO47" s="13"/>
      <c r="AQ47" s="13"/>
      <c r="AS47" s="13"/>
      <c r="AU47" s="13"/>
      <c r="AW47" s="13"/>
      <c r="AY47" s="13"/>
      <c r="BA47" s="13"/>
      <c r="BC47" s="13"/>
      <c r="BE47" s="13"/>
      <c r="BG47" s="13"/>
      <c r="BI47" s="13"/>
      <c r="BK47" s="13"/>
      <c r="BM47" s="13"/>
    </row>
    <row r="48" spans="3:65" x14ac:dyDescent="0.3">
      <c r="C48" s="13"/>
      <c r="E48" s="13"/>
      <c r="G48" s="13"/>
      <c r="I48" s="13"/>
      <c r="K48" s="13"/>
      <c r="M48" s="13"/>
      <c r="O48" s="13"/>
      <c r="Q48" s="13"/>
      <c r="S48" s="13"/>
      <c r="U48" s="13"/>
      <c r="W48" s="13"/>
      <c r="Y48" s="13"/>
      <c r="AA48" s="13"/>
      <c r="AC48" s="13"/>
      <c r="AE48" s="13"/>
      <c r="AG48" s="13"/>
      <c r="AI48" s="13"/>
      <c r="AK48" s="13"/>
      <c r="AM48" s="13"/>
      <c r="AO48" s="13"/>
      <c r="AQ48" s="13"/>
      <c r="AS48" s="13"/>
      <c r="AU48" s="13"/>
      <c r="AW48" s="13"/>
      <c r="AY48" s="13"/>
      <c r="BA48" s="13"/>
      <c r="BC48" s="13"/>
      <c r="BE48" s="13"/>
      <c r="BG48" s="13"/>
      <c r="BI48" s="13"/>
      <c r="BK48" s="13"/>
      <c r="BM48" s="13"/>
    </row>
    <row r="49" spans="3:65" x14ac:dyDescent="0.3">
      <c r="C49" s="13"/>
      <c r="E49" s="13"/>
      <c r="G49" s="13"/>
      <c r="I49" s="13"/>
      <c r="K49" s="13"/>
      <c r="M49" s="13"/>
      <c r="O49" s="13"/>
      <c r="Q49" s="13"/>
      <c r="S49" s="13"/>
      <c r="U49" s="13"/>
      <c r="W49" s="13"/>
      <c r="Y49" s="13"/>
      <c r="AA49" s="13"/>
      <c r="AC49" s="13"/>
      <c r="AE49" s="13"/>
      <c r="AG49" s="13"/>
      <c r="AI49" s="13"/>
      <c r="AK49" s="13"/>
      <c r="AM49" s="13"/>
      <c r="AO49" s="13"/>
      <c r="AQ49" s="13"/>
      <c r="AS49" s="13"/>
      <c r="AU49" s="13"/>
      <c r="AW49" s="13"/>
      <c r="AY49" s="13"/>
      <c r="BA49" s="13"/>
      <c r="BC49" s="13"/>
      <c r="BE49" s="13"/>
      <c r="BG49" s="13"/>
      <c r="BI49" s="13"/>
      <c r="BK49" s="13"/>
      <c r="BM49" s="13"/>
    </row>
    <row r="50" spans="3:65" x14ac:dyDescent="0.3">
      <c r="C50" s="13"/>
      <c r="E50" s="13"/>
      <c r="G50" s="13"/>
      <c r="I50" s="13"/>
      <c r="K50" s="13"/>
      <c r="M50" s="13"/>
      <c r="O50" s="13"/>
      <c r="Q50" s="13"/>
      <c r="S50" s="13"/>
      <c r="U50" s="13"/>
      <c r="W50" s="13"/>
      <c r="Y50" s="13"/>
      <c r="AA50" s="13"/>
      <c r="AC50" s="13"/>
      <c r="AE50" s="13"/>
      <c r="AG50" s="13"/>
      <c r="AI50" s="13"/>
      <c r="AK50" s="13"/>
      <c r="AM50" s="13"/>
      <c r="AO50" s="13"/>
      <c r="AQ50" s="13"/>
      <c r="AS50" s="13"/>
      <c r="AU50" s="13"/>
      <c r="AW50" s="13"/>
      <c r="AY50" s="13"/>
      <c r="BA50" s="13"/>
      <c r="BC50" s="13"/>
      <c r="BE50" s="13"/>
      <c r="BG50" s="13"/>
      <c r="BI50" s="13"/>
      <c r="BK50" s="13"/>
      <c r="BM50" s="13"/>
    </row>
    <row r="51" spans="3:65" x14ac:dyDescent="0.3">
      <c r="C51" s="13"/>
      <c r="E51" s="13"/>
      <c r="G51" s="13"/>
      <c r="I51" s="13"/>
      <c r="K51" s="13"/>
      <c r="M51" s="13"/>
      <c r="O51" s="13"/>
      <c r="Q51" s="13"/>
      <c r="S51" s="13"/>
      <c r="U51" s="13"/>
      <c r="W51" s="13"/>
      <c r="Y51" s="13"/>
      <c r="AA51" s="13"/>
      <c r="AC51" s="13"/>
      <c r="AE51" s="13"/>
      <c r="AG51" s="13"/>
      <c r="AI51" s="13"/>
      <c r="AK51" s="13"/>
      <c r="AM51" s="13"/>
      <c r="AO51" s="13"/>
      <c r="AQ51" s="13"/>
      <c r="AS51" s="13"/>
      <c r="AU51" s="13"/>
      <c r="AW51" s="13"/>
      <c r="AY51" s="13"/>
      <c r="BA51" s="13"/>
      <c r="BC51" s="13"/>
      <c r="BE51" s="13"/>
      <c r="BG51" s="13"/>
      <c r="BI51" s="13"/>
      <c r="BK51" s="13"/>
      <c r="BM51" s="13"/>
    </row>
    <row r="52" spans="3:65" x14ac:dyDescent="0.3">
      <c r="C52" s="13"/>
      <c r="E52" s="13"/>
      <c r="G52" s="13"/>
      <c r="I52" s="13"/>
      <c r="K52" s="13"/>
      <c r="M52" s="13"/>
      <c r="O52" s="13"/>
      <c r="Q52" s="13"/>
      <c r="S52" s="13"/>
      <c r="U52" s="13"/>
      <c r="W52" s="13"/>
      <c r="Y52" s="13"/>
      <c r="AA52" s="13"/>
      <c r="AC52" s="13"/>
      <c r="AE52" s="13"/>
      <c r="AG52" s="13"/>
      <c r="AI52" s="13"/>
      <c r="AK52" s="13"/>
      <c r="AM52" s="13"/>
      <c r="AO52" s="13"/>
      <c r="AQ52" s="13"/>
      <c r="AS52" s="13"/>
      <c r="AU52" s="13"/>
      <c r="AW52" s="13"/>
      <c r="AY52" s="13"/>
      <c r="BA52" s="13"/>
      <c r="BC52" s="13"/>
      <c r="BE52" s="13"/>
      <c r="BG52" s="13"/>
      <c r="BI52" s="13"/>
      <c r="BK52" s="13"/>
      <c r="BM52" s="13"/>
    </row>
    <row r="53" spans="3:65" x14ac:dyDescent="0.3">
      <c r="C53" s="13"/>
      <c r="E53" s="13"/>
      <c r="G53" s="13"/>
      <c r="I53" s="13"/>
      <c r="K53" s="13"/>
      <c r="M53" s="13"/>
      <c r="O53" s="13"/>
      <c r="Q53" s="13"/>
      <c r="S53" s="13"/>
      <c r="U53" s="13"/>
      <c r="W53" s="13"/>
      <c r="Y53" s="13"/>
      <c r="AA53" s="13"/>
      <c r="AC53" s="13"/>
      <c r="AE53" s="13"/>
      <c r="AG53" s="13"/>
      <c r="AI53" s="13"/>
      <c r="AK53" s="13"/>
      <c r="AM53" s="13"/>
      <c r="AO53" s="13"/>
      <c r="AQ53" s="13"/>
      <c r="AS53" s="13"/>
      <c r="AU53" s="13"/>
      <c r="AW53" s="13"/>
      <c r="AY53" s="13"/>
      <c r="BA53" s="13"/>
      <c r="BC53" s="13"/>
      <c r="BE53" s="13"/>
      <c r="BG53" s="13"/>
      <c r="BI53" s="13"/>
      <c r="BK53" s="13"/>
      <c r="BM53" s="13"/>
    </row>
    <row r="54" spans="3:65" x14ac:dyDescent="0.3">
      <c r="C54" s="13"/>
      <c r="E54" s="13"/>
      <c r="G54" s="13"/>
      <c r="I54" s="13"/>
      <c r="K54" s="13"/>
      <c r="M54" s="13"/>
      <c r="O54" s="13"/>
      <c r="Q54" s="13"/>
      <c r="S54" s="13"/>
      <c r="U54" s="13"/>
      <c r="W54" s="13"/>
      <c r="Y54" s="13"/>
      <c r="AA54" s="13"/>
      <c r="AC54" s="13"/>
      <c r="AE54" s="13"/>
      <c r="AG54" s="13"/>
      <c r="AI54" s="13"/>
      <c r="AK54" s="13"/>
      <c r="AM54" s="13"/>
      <c r="AO54" s="13"/>
      <c r="AQ54" s="13"/>
      <c r="AS54" s="13"/>
      <c r="AU54" s="13"/>
      <c r="AW54" s="13"/>
      <c r="AY54" s="13"/>
      <c r="BA54" s="13"/>
      <c r="BC54" s="13"/>
      <c r="BE54" s="13"/>
      <c r="BG54" s="13"/>
      <c r="BI54" s="13"/>
      <c r="BK54" s="13"/>
      <c r="BM54" s="13"/>
    </row>
    <row r="55" spans="3:65" x14ac:dyDescent="0.3">
      <c r="C55" s="13"/>
      <c r="E55" s="13"/>
      <c r="G55" s="13"/>
      <c r="I55" s="13"/>
      <c r="K55" s="13"/>
      <c r="M55" s="13"/>
      <c r="O55" s="13"/>
      <c r="Q55" s="13"/>
      <c r="S55" s="13"/>
      <c r="U55" s="13"/>
      <c r="W55" s="13"/>
      <c r="Y55" s="13"/>
      <c r="AA55" s="13"/>
      <c r="AC55" s="13"/>
      <c r="AE55" s="13"/>
      <c r="AG55" s="13"/>
      <c r="AI55" s="13"/>
      <c r="AK55" s="13"/>
      <c r="AM55" s="13"/>
      <c r="AO55" s="13"/>
      <c r="AQ55" s="13"/>
      <c r="AS55" s="13"/>
      <c r="AU55" s="13"/>
      <c r="AW55" s="13"/>
      <c r="AY55" s="13"/>
      <c r="BA55" s="13"/>
      <c r="BC55" s="13"/>
      <c r="BE55" s="13"/>
      <c r="BG55" s="13"/>
      <c r="BI55" s="13"/>
      <c r="BK55" s="13"/>
      <c r="BM55" s="13"/>
    </row>
    <row r="56" spans="3:65" x14ac:dyDescent="0.3">
      <c r="C56" s="13"/>
      <c r="E56" s="13"/>
      <c r="G56" s="13"/>
      <c r="I56" s="13"/>
      <c r="K56" s="13"/>
      <c r="M56" s="13"/>
      <c r="O56" s="13"/>
      <c r="Q56" s="13"/>
      <c r="S56" s="13"/>
      <c r="U56" s="13"/>
      <c r="W56" s="13"/>
      <c r="Y56" s="13"/>
      <c r="AA56" s="13"/>
      <c r="AC56" s="13"/>
      <c r="AE56" s="13"/>
      <c r="AG56" s="13"/>
      <c r="AI56" s="13"/>
      <c r="AK56" s="13"/>
      <c r="AM56" s="13"/>
      <c r="AO56" s="13"/>
      <c r="AQ56" s="13"/>
      <c r="AS56" s="13"/>
      <c r="AU56" s="13"/>
      <c r="AW56" s="13"/>
      <c r="AY56" s="13"/>
      <c r="BA56" s="13"/>
      <c r="BC56" s="13"/>
      <c r="BE56" s="13"/>
      <c r="BG56" s="13"/>
      <c r="BI56" s="13"/>
      <c r="BK56" s="13"/>
      <c r="BM56" s="13"/>
    </row>
    <row r="57" spans="3:65" x14ac:dyDescent="0.3">
      <c r="C57" s="13"/>
      <c r="E57" s="13"/>
      <c r="G57" s="13"/>
      <c r="I57" s="13"/>
      <c r="K57" s="13"/>
      <c r="M57" s="13"/>
      <c r="O57" s="13"/>
      <c r="Q57" s="13"/>
      <c r="S57" s="13"/>
      <c r="U57" s="13"/>
      <c r="W57" s="13"/>
      <c r="Y57" s="13"/>
      <c r="AA57" s="13"/>
      <c r="AC57" s="13"/>
      <c r="AE57" s="13"/>
      <c r="AG57" s="13"/>
      <c r="AI57" s="13"/>
      <c r="AK57" s="13"/>
      <c r="AM57" s="13"/>
      <c r="AO57" s="13"/>
      <c r="AQ57" s="13"/>
      <c r="AS57" s="13"/>
      <c r="AU57" s="13"/>
      <c r="AW57" s="13"/>
      <c r="AY57" s="13"/>
      <c r="BA57" s="13"/>
      <c r="BC57" s="13"/>
      <c r="BE57" s="13"/>
      <c r="BG57" s="13"/>
      <c r="BI57" s="13"/>
      <c r="BK57" s="13"/>
      <c r="BM57" s="13"/>
    </row>
    <row r="58" spans="3:65" x14ac:dyDescent="0.3">
      <c r="C58" s="13"/>
      <c r="E58" s="13"/>
      <c r="G58" s="13"/>
      <c r="I58" s="13"/>
      <c r="K58" s="13"/>
      <c r="M58" s="13"/>
      <c r="O58" s="13"/>
      <c r="Q58" s="13"/>
      <c r="S58" s="13"/>
      <c r="U58" s="13"/>
      <c r="W58" s="13"/>
      <c r="Y58" s="13"/>
      <c r="AA58" s="13"/>
      <c r="AC58" s="13"/>
      <c r="AE58" s="13"/>
      <c r="AG58" s="13"/>
      <c r="AI58" s="13"/>
      <c r="AK58" s="13"/>
      <c r="AM58" s="13"/>
      <c r="AO58" s="13"/>
      <c r="AQ58" s="13"/>
      <c r="AS58" s="13"/>
      <c r="AU58" s="13"/>
      <c r="AW58" s="13"/>
      <c r="AY58" s="13"/>
      <c r="BA58" s="13"/>
      <c r="BC58" s="13"/>
      <c r="BE58" s="13"/>
      <c r="BG58" s="13"/>
      <c r="BI58" s="13"/>
      <c r="BK58" s="13"/>
      <c r="BM58" s="13"/>
    </row>
    <row r="59" spans="3:65" x14ac:dyDescent="0.3">
      <c r="C59" s="13"/>
      <c r="E59" s="13"/>
      <c r="G59" s="13"/>
      <c r="I59" s="13"/>
      <c r="K59" s="13"/>
      <c r="M59" s="13"/>
      <c r="O59" s="13"/>
      <c r="Q59" s="13"/>
      <c r="S59" s="13"/>
      <c r="U59" s="13"/>
      <c r="W59" s="13"/>
      <c r="Y59" s="13"/>
      <c r="AA59" s="13"/>
      <c r="AC59" s="13"/>
      <c r="AE59" s="13"/>
      <c r="AG59" s="13"/>
      <c r="AI59" s="13"/>
      <c r="AK59" s="13"/>
      <c r="AM59" s="13"/>
      <c r="AO59" s="13"/>
      <c r="AQ59" s="13"/>
      <c r="AS59" s="13"/>
      <c r="AU59" s="13"/>
      <c r="AW59" s="13"/>
      <c r="AY59" s="13"/>
      <c r="BA59" s="13"/>
      <c r="BC59" s="13"/>
      <c r="BE59" s="13"/>
      <c r="BG59" s="13"/>
      <c r="BI59" s="13"/>
      <c r="BK59" s="13"/>
      <c r="BM59" s="13"/>
    </row>
    <row r="60" spans="3:65" x14ac:dyDescent="0.3">
      <c r="C60" s="13"/>
      <c r="E60" s="13"/>
      <c r="G60" s="13"/>
      <c r="I60" s="13"/>
      <c r="K60" s="13"/>
      <c r="M60" s="13"/>
      <c r="O60" s="13"/>
      <c r="Q60" s="13"/>
      <c r="S60" s="13"/>
      <c r="U60" s="13"/>
      <c r="W60" s="13"/>
      <c r="Y60" s="13"/>
      <c r="AA60" s="13"/>
      <c r="AC60" s="13"/>
      <c r="AE60" s="13"/>
      <c r="AG60" s="13"/>
      <c r="AI60" s="13"/>
      <c r="AK60" s="13"/>
      <c r="AM60" s="13"/>
      <c r="AO60" s="13"/>
      <c r="AQ60" s="13"/>
      <c r="AS60" s="13"/>
      <c r="AU60" s="13"/>
      <c r="AW60" s="13"/>
      <c r="AY60" s="13"/>
      <c r="BA60" s="13"/>
      <c r="BC60" s="13"/>
      <c r="BE60" s="13"/>
      <c r="BG60" s="13"/>
      <c r="BI60" s="13"/>
      <c r="BK60" s="13"/>
      <c r="BM60" s="13"/>
    </row>
    <row r="61" spans="3:65" x14ac:dyDescent="0.3">
      <c r="C61" s="13"/>
      <c r="E61" s="13"/>
      <c r="G61" s="13"/>
      <c r="I61" s="13"/>
      <c r="K61" s="13"/>
      <c r="M61" s="13"/>
      <c r="O61" s="13"/>
      <c r="Q61" s="13"/>
      <c r="S61" s="13"/>
      <c r="U61" s="13"/>
      <c r="W61" s="13"/>
      <c r="Y61" s="13"/>
      <c r="AA61" s="13"/>
      <c r="AC61" s="13"/>
      <c r="AE61" s="13"/>
      <c r="AG61" s="13"/>
      <c r="AI61" s="13"/>
      <c r="AK61" s="13"/>
      <c r="AM61" s="13"/>
      <c r="AO61" s="13"/>
      <c r="AQ61" s="13"/>
      <c r="AS61" s="13"/>
      <c r="AU61" s="13"/>
      <c r="AW61" s="13"/>
      <c r="AY61" s="13"/>
      <c r="BA61" s="13"/>
      <c r="BC61" s="13"/>
      <c r="BE61" s="13"/>
      <c r="BG61" s="13"/>
      <c r="BI61" s="13"/>
      <c r="BK61" s="13"/>
      <c r="BM61" s="13"/>
    </row>
    <row r="62" spans="3:65" x14ac:dyDescent="0.3">
      <c r="C62" s="13"/>
      <c r="E62" s="13"/>
      <c r="G62" s="13"/>
      <c r="I62" s="13"/>
      <c r="K62" s="13"/>
      <c r="M62" s="13"/>
      <c r="O62" s="13"/>
      <c r="Q62" s="13"/>
      <c r="S62" s="13"/>
      <c r="U62" s="13"/>
      <c r="W62" s="13"/>
      <c r="Y62" s="13"/>
      <c r="AA62" s="13"/>
      <c r="AC62" s="13"/>
      <c r="AE62" s="13"/>
      <c r="AG62" s="13"/>
      <c r="AI62" s="13"/>
      <c r="AK62" s="13"/>
      <c r="AM62" s="13"/>
      <c r="AO62" s="13"/>
      <c r="AQ62" s="13"/>
      <c r="AS62" s="13"/>
      <c r="AU62" s="13"/>
      <c r="AW62" s="13"/>
      <c r="AY62" s="13"/>
      <c r="BA62" s="13"/>
      <c r="BC62" s="13"/>
      <c r="BE62" s="13"/>
      <c r="BG62" s="13"/>
      <c r="BI62" s="13"/>
      <c r="BK62" s="13"/>
      <c r="BM62" s="13"/>
    </row>
    <row r="63" spans="3:65" x14ac:dyDescent="0.3">
      <c r="C63" s="13"/>
      <c r="E63" s="13"/>
      <c r="G63" s="13"/>
      <c r="I63" s="13"/>
      <c r="K63" s="13"/>
      <c r="M63" s="13"/>
      <c r="O63" s="13"/>
      <c r="Q63" s="13"/>
      <c r="S63" s="13"/>
      <c r="U63" s="13"/>
      <c r="W63" s="13"/>
      <c r="Y63" s="13"/>
      <c r="AA63" s="13"/>
      <c r="AC63" s="13"/>
      <c r="AE63" s="13"/>
      <c r="AG63" s="13"/>
      <c r="AI63" s="13"/>
      <c r="AK63" s="13"/>
      <c r="AM63" s="13"/>
      <c r="AO63" s="13"/>
      <c r="AQ63" s="13"/>
      <c r="AS63" s="13"/>
      <c r="AU63" s="13"/>
      <c r="AW63" s="13"/>
      <c r="AY63" s="13"/>
      <c r="BA63" s="13"/>
      <c r="BC63" s="13"/>
      <c r="BE63" s="13"/>
      <c r="BG63" s="13"/>
      <c r="BI63" s="13"/>
      <c r="BK63" s="13"/>
      <c r="BM63" s="13"/>
    </row>
    <row r="64" spans="3:65" x14ac:dyDescent="0.3">
      <c r="C64" s="13"/>
      <c r="E64" s="13"/>
      <c r="G64" s="13"/>
      <c r="I64" s="13"/>
      <c r="K64" s="13"/>
      <c r="M64" s="13"/>
      <c r="O64" s="13"/>
      <c r="Q64" s="13"/>
      <c r="S64" s="13"/>
      <c r="U64" s="13"/>
      <c r="W64" s="13"/>
      <c r="Y64" s="13"/>
      <c r="AA64" s="13"/>
      <c r="AC64" s="13"/>
      <c r="AE64" s="13"/>
      <c r="AG64" s="13"/>
      <c r="AI64" s="13"/>
      <c r="AK64" s="13"/>
      <c r="AM64" s="13"/>
      <c r="AO64" s="13"/>
      <c r="AQ64" s="13"/>
      <c r="AS64" s="13"/>
      <c r="AU64" s="13"/>
      <c r="AW64" s="13"/>
      <c r="AY64" s="13"/>
      <c r="BA64" s="13"/>
      <c r="BC64" s="13"/>
      <c r="BE64" s="13"/>
      <c r="BG64" s="13"/>
      <c r="BI64" s="13"/>
      <c r="BK64" s="13"/>
      <c r="BM64" s="13"/>
    </row>
    <row r="65" spans="3:65" x14ac:dyDescent="0.3">
      <c r="C65" s="13"/>
      <c r="E65" s="13"/>
      <c r="G65" s="13"/>
      <c r="I65" s="13"/>
      <c r="K65" s="13"/>
      <c r="M65" s="13"/>
      <c r="O65" s="13"/>
      <c r="Q65" s="13"/>
      <c r="S65" s="13"/>
      <c r="U65" s="13"/>
      <c r="W65" s="13"/>
      <c r="Y65" s="13"/>
      <c r="AA65" s="13"/>
      <c r="AC65" s="13"/>
      <c r="AE65" s="13"/>
      <c r="AG65" s="13"/>
      <c r="AI65" s="13"/>
      <c r="AK65" s="13"/>
      <c r="AM65" s="13"/>
      <c r="AO65" s="13"/>
      <c r="AQ65" s="13"/>
      <c r="AS65" s="13"/>
      <c r="AU65" s="13"/>
      <c r="AW65" s="13"/>
      <c r="AY65" s="13"/>
      <c r="BA65" s="13"/>
      <c r="BC65" s="13"/>
      <c r="BE65" s="13"/>
      <c r="BG65" s="13"/>
      <c r="BI65" s="13"/>
      <c r="BK65" s="13"/>
      <c r="BM65" s="13"/>
    </row>
    <row r="66" spans="3:65" x14ac:dyDescent="0.3">
      <c r="C66" s="13"/>
      <c r="E66" s="13"/>
      <c r="G66" s="13"/>
      <c r="I66" s="13"/>
      <c r="K66" s="13"/>
      <c r="M66" s="13"/>
      <c r="O66" s="13"/>
      <c r="Q66" s="13"/>
      <c r="S66" s="13"/>
      <c r="U66" s="13"/>
      <c r="W66" s="13"/>
      <c r="Y66" s="13"/>
      <c r="AA66" s="13"/>
      <c r="AC66" s="13"/>
      <c r="AE66" s="13"/>
      <c r="AG66" s="13"/>
      <c r="AI66" s="13"/>
      <c r="AK66" s="13"/>
      <c r="AM66" s="13"/>
      <c r="AO66" s="13"/>
      <c r="AQ66" s="13"/>
      <c r="AS66" s="13"/>
      <c r="AU66" s="13"/>
      <c r="AW66" s="13"/>
      <c r="AY66" s="13"/>
      <c r="BA66" s="13"/>
      <c r="BC66" s="13"/>
      <c r="BE66" s="13"/>
      <c r="BG66" s="13"/>
      <c r="BI66" s="13"/>
      <c r="BK66" s="13"/>
      <c r="BM66" s="13"/>
    </row>
    <row r="67" spans="3:65" x14ac:dyDescent="0.3">
      <c r="C67" s="13"/>
      <c r="E67" s="13"/>
      <c r="G67" s="13"/>
      <c r="I67" s="13"/>
      <c r="K67" s="13"/>
      <c r="M67" s="13"/>
      <c r="O67" s="13"/>
      <c r="Q67" s="13"/>
      <c r="S67" s="13"/>
      <c r="U67" s="13"/>
      <c r="W67" s="13"/>
      <c r="Y67" s="13"/>
      <c r="AA67" s="13"/>
      <c r="AC67" s="13"/>
      <c r="AE67" s="13"/>
      <c r="AG67" s="13"/>
      <c r="AI67" s="13"/>
      <c r="AK67" s="13"/>
      <c r="AM67" s="13"/>
      <c r="AO67" s="13"/>
      <c r="AQ67" s="13"/>
      <c r="AS67" s="13"/>
      <c r="AU67" s="13"/>
      <c r="AW67" s="13"/>
      <c r="AY67" s="13"/>
      <c r="BA67" s="13"/>
      <c r="BC67" s="13"/>
      <c r="BE67" s="13"/>
      <c r="BG67" s="13"/>
      <c r="BI67" s="13"/>
      <c r="BK67" s="13"/>
      <c r="BM67" s="13"/>
    </row>
    <row r="68" spans="3:65" x14ac:dyDescent="0.3">
      <c r="C68" s="13"/>
      <c r="E68" s="13"/>
      <c r="G68" s="13"/>
      <c r="I68" s="13"/>
      <c r="K68" s="13"/>
      <c r="M68" s="13"/>
      <c r="O68" s="13"/>
      <c r="Q68" s="13"/>
      <c r="S68" s="13"/>
      <c r="U68" s="13"/>
      <c r="W68" s="13"/>
      <c r="Y68" s="13"/>
      <c r="AA68" s="13"/>
      <c r="AC68" s="13"/>
      <c r="AE68" s="13"/>
      <c r="AG68" s="13"/>
      <c r="AI68" s="13"/>
      <c r="AK68" s="13"/>
      <c r="AM68" s="13"/>
      <c r="AO68" s="13"/>
      <c r="AQ68" s="13"/>
      <c r="AS68" s="13"/>
      <c r="AU68" s="13"/>
      <c r="AW68" s="13"/>
      <c r="AY68" s="13"/>
      <c r="BA68" s="13"/>
      <c r="BC68" s="13"/>
      <c r="BE68" s="13"/>
      <c r="BG68" s="13"/>
      <c r="BI68" s="13"/>
      <c r="BK68" s="13"/>
      <c r="BM68" s="13"/>
    </row>
    <row r="69" spans="3:65" x14ac:dyDescent="0.3">
      <c r="C69" s="13"/>
      <c r="E69" s="13"/>
      <c r="G69" s="13"/>
      <c r="I69" s="13"/>
      <c r="K69" s="13"/>
      <c r="M69" s="13"/>
      <c r="O69" s="13"/>
      <c r="Q69" s="13"/>
      <c r="S69" s="13"/>
      <c r="U69" s="13"/>
      <c r="W69" s="13"/>
      <c r="Y69" s="13"/>
      <c r="AA69" s="13"/>
      <c r="AC69" s="13"/>
      <c r="AE69" s="13"/>
      <c r="AG69" s="13"/>
      <c r="AI69" s="13"/>
      <c r="AK69" s="13"/>
      <c r="AM69" s="13"/>
      <c r="AO69" s="13"/>
      <c r="AQ69" s="13"/>
      <c r="AS69" s="13"/>
      <c r="AU69" s="13"/>
      <c r="AW69" s="13"/>
      <c r="AY69" s="13"/>
      <c r="BA69" s="13"/>
      <c r="BC69" s="13"/>
      <c r="BE69" s="13"/>
      <c r="BG69" s="13"/>
      <c r="BI69" s="13"/>
      <c r="BK69" s="13"/>
      <c r="BM69" s="13"/>
    </row>
    <row r="70" spans="3:65" x14ac:dyDescent="0.3">
      <c r="C70" s="13"/>
      <c r="E70" s="13"/>
      <c r="G70" s="13"/>
      <c r="I70" s="13"/>
      <c r="K70" s="13"/>
      <c r="M70" s="13"/>
      <c r="O70" s="13"/>
      <c r="Q70" s="13"/>
      <c r="S70" s="13"/>
      <c r="U70" s="13"/>
      <c r="W70" s="13"/>
      <c r="Y70" s="13"/>
      <c r="AA70" s="13"/>
      <c r="AC70" s="13"/>
      <c r="AE70" s="13"/>
      <c r="AG70" s="13"/>
      <c r="AI70" s="13"/>
      <c r="AK70" s="13"/>
      <c r="AM70" s="13"/>
      <c r="AO70" s="13"/>
      <c r="AQ70" s="13"/>
      <c r="AS70" s="13"/>
      <c r="AU70" s="13"/>
      <c r="AW70" s="13"/>
      <c r="AY70" s="13"/>
      <c r="BA70" s="13"/>
      <c r="BC70" s="13"/>
      <c r="BE70" s="13"/>
      <c r="BG70" s="13"/>
      <c r="BI70" s="13"/>
      <c r="BK70" s="13"/>
      <c r="BM70" s="13"/>
    </row>
  </sheetData>
  <mergeCells count="93">
    <mergeCell ref="BL3:BM3"/>
    <mergeCell ref="BL4:BM4"/>
    <mergeCell ref="BL5:BM5"/>
    <mergeCell ref="BH3:BI3"/>
    <mergeCell ref="BH4:BI4"/>
    <mergeCell ref="BH5:BI5"/>
    <mergeCell ref="BJ3:BK3"/>
    <mergeCell ref="BJ4:BK4"/>
    <mergeCell ref="BJ5:BK5"/>
    <mergeCell ref="BD3:BE3"/>
    <mergeCell ref="BD4:BE4"/>
    <mergeCell ref="BD5:BE5"/>
    <mergeCell ref="BF3:BG3"/>
    <mergeCell ref="BF4:BG4"/>
    <mergeCell ref="BF5:BG5"/>
    <mergeCell ref="AZ3:BA3"/>
    <mergeCell ref="AZ4:BA4"/>
    <mergeCell ref="AZ5:BA5"/>
    <mergeCell ref="BB3:BC3"/>
    <mergeCell ref="BB4:BC4"/>
    <mergeCell ref="BB5:BC5"/>
    <mergeCell ref="AV3:AW3"/>
    <mergeCell ref="AV4:AW4"/>
    <mergeCell ref="AV5:AW5"/>
    <mergeCell ref="AX3:AY3"/>
    <mergeCell ref="AX4:AY4"/>
    <mergeCell ref="AX5:AY5"/>
    <mergeCell ref="AR3:AS3"/>
    <mergeCell ref="AR4:AS4"/>
    <mergeCell ref="AR5:AS5"/>
    <mergeCell ref="AT3:AU3"/>
    <mergeCell ref="AT4:AU4"/>
    <mergeCell ref="AT5:AU5"/>
    <mergeCell ref="AN3:AO3"/>
    <mergeCell ref="AN4:AO4"/>
    <mergeCell ref="AN5:AO5"/>
    <mergeCell ref="AP3:AQ3"/>
    <mergeCell ref="AP4:AQ4"/>
    <mergeCell ref="AP5:AQ5"/>
    <mergeCell ref="AJ3:AK3"/>
    <mergeCell ref="AJ4:AK4"/>
    <mergeCell ref="AJ5:AK5"/>
    <mergeCell ref="AL3:AM3"/>
    <mergeCell ref="AL4:AM4"/>
    <mergeCell ref="AL5:AM5"/>
    <mergeCell ref="AF3:AG3"/>
    <mergeCell ref="AF4:AG4"/>
    <mergeCell ref="AF5:AG5"/>
    <mergeCell ref="AH3:AI3"/>
    <mergeCell ref="AH4:AI4"/>
    <mergeCell ref="AH5:AI5"/>
    <mergeCell ref="AB3:AC3"/>
    <mergeCell ref="AB4:AC4"/>
    <mergeCell ref="AB5:AC5"/>
    <mergeCell ref="AD3:AE3"/>
    <mergeCell ref="AD4:AE4"/>
    <mergeCell ref="AD5:AE5"/>
    <mergeCell ref="X3:Y3"/>
    <mergeCell ref="X4:Y4"/>
    <mergeCell ref="X5:Y5"/>
    <mergeCell ref="Z3:AA3"/>
    <mergeCell ref="Z4:AA4"/>
    <mergeCell ref="Z5:AA5"/>
    <mergeCell ref="T3:U3"/>
    <mergeCell ref="T4:U4"/>
    <mergeCell ref="T5:U5"/>
    <mergeCell ref="V3:W3"/>
    <mergeCell ref="V4:W4"/>
    <mergeCell ref="V5:W5"/>
    <mergeCell ref="P3:Q3"/>
    <mergeCell ref="P4:Q4"/>
    <mergeCell ref="P5:Q5"/>
    <mergeCell ref="R3:S3"/>
    <mergeCell ref="R4:S4"/>
    <mergeCell ref="R5:S5"/>
    <mergeCell ref="L3:M3"/>
    <mergeCell ref="L4:M4"/>
    <mergeCell ref="L5:M5"/>
    <mergeCell ref="N3:O3"/>
    <mergeCell ref="N4:O4"/>
    <mergeCell ref="N5:O5"/>
    <mergeCell ref="H3:I3"/>
    <mergeCell ref="H4:I4"/>
    <mergeCell ref="H5:I5"/>
    <mergeCell ref="J3:K3"/>
    <mergeCell ref="J4:K4"/>
    <mergeCell ref="J5:K5"/>
    <mergeCell ref="D3:E3"/>
    <mergeCell ref="D4:E4"/>
    <mergeCell ref="D5:E5"/>
    <mergeCell ref="F3:G3"/>
    <mergeCell ref="F4:G4"/>
    <mergeCell ref="F5:G5"/>
  </mergeCells>
  <dataValidations count="2">
    <dataValidation type="list" allowBlank="1" showInputMessage="1" showErrorMessage="1" sqref="D8 F8 H8 J8 L8 N8 P8 R8 T8 V8 X8 Z8 AB8 AD8 AF8 AH8 AJ8 AL8 AN8 AP8 AR8 AT8 AV8 AX8 AZ8 BB8 BD8 BF8 BH8 BJ8 BL8 BN8 D9 F9 H9 J9 L9 N9 P9 R9 T9 V9 X9 Z9 AB9 AD9 AF9 AH9 AJ9 AL9 AN9 AP9 AR9 AT9 AV9 AX9 AZ9 BB9 BD9 BF9 BH9 BJ9 BL9 BN9 D12 F12 H12 J12 L12 N12 P12 R12 T12 V12 X12 Z12 AB12 AD12 AF12 AH12 AJ12 AL12 AN12 AP12 AR12 AT12 AV12 AX12 AZ12 BB12 BD12 BF12 BH12 BJ12 BL12 BN12 D13 F13 H13 J13 L13 N13 P13 R13 T13 V13 X13 Z13 AB13 AD13 AF13 AH13 AJ13 AL13 AN13 AP13 AR13 AT13 AV13 AX13 AZ13 BB13 BD13 BF13 BH13 BJ13 BL13 BN13 D15 F15 H15 J15 L15 N15 P15 R15 T15 V15 X15 Z15 AB15 AD15 AF15 AH15 AJ15 AL15 AN15 AP15 AR15 AT15 AV15 AX15 AZ15 BB15 BD15 BF15 BH15 BJ15 BL15 BN15 D16 F16 H16 J16 L16 N16 P16 R16 T16 V16 X16 Z16 AB16 AD16 AF16 AH16 AJ16 AL16 AN16 AP16 AR16 AT16 AV16 AX16 AZ16 BB16 BD16 BF16 BH16 BJ16 BL16 BN16 D17 F17 H17 J17 L17 N17 P17 R17 T17 V17 X17 Z17 AB17 AD17 AF17 AH17 AJ17 AL17 AN17 AP17 AR17 AT17 AV17 AX17 AZ17 BB17 BD17 BF17 BH17 BJ17 BL17 BN17 D20 F20 H20 J20 L20 N20 P20 R20 T20 V20 X20 Z20 AB20 AD20 AF20 AH20 AJ20 AL20 AN20 AP20 AR20 AT20 AV20 AX20 AZ20 BB20 BD20 BF20 BH20 BJ20 BL20 BN20 D21 F21 H21 J21 L21 N21 P21 R21 T21 V21 X21 Z21 AB21 AD21 AF21 AH21 AJ21 AL21 AN21 AP21 AR21 AT21 AV21 AX21 AZ21 BB21 BD21 BF21 BH21 BJ21 BL21 BN21 D24 F24 H24 J24 L24 N24 P24 R24 T24 V24 X24 Z24 AB24 AD24 AF24 AH24 AJ24 AL24 AN24 AP24 AR24 AT24 AV24 AX24 AZ24 BB24 BD24 BF24 BH24 BJ24 BL24 BN24 D26 F26 H26 J26 L26 N26 P26 R26 T26 V26 X26 Z26 AB26 AD26 AF26 AH26 AJ26 AL26 AN26 AP26 AR26 AT26 AV26 AX26 AZ26 BB26 BD26 BF26 BH26 BJ26 BL26 BN26" xr:uid="{6B499C32-06CF-4C2B-B77A-796002C2B4E1}">
      <formula1>";P;S;TA;Z;UR;UV;ABW;GL;SU;BE;BE-D;BA-B;BA-D;BAO"</formula1>
    </dataValidation>
    <dataValidation type="list" allowBlank="1" showInputMessage="1" showErrorMessage="1" sqref="E8 G8 I8 K8 M8 O8 Q8 S8 U8 W8 Y8 AA8 AC8 AE8 AG8 AI8 AK8 AM8 AO8 AQ8 AS8 AU8 AW8 AY8 BA8 BC8 BE8 BG8 BI8 BK8 BM8 BO8 E9 G9 I9 K9 M9 O9 Q9 S9 U9 W9 Y9 AA9 AC9 AE9 AG9 AI9 AK9 AM9 AO9 AQ9 AS9 AU9 AW9 AY9 BA9 BC9 BE9 BG9 BI9 BK9 BM9 BO9 E12 G12 I12 K12 M12 O12 Q12 S12 U12 W12 Y12 AA12 AC12 AE12 AG12 AI12 AK12 AM12 AO12 AQ12 AS12 AU12 AW12 AY12 BA12 BC12 BE12 BG12 BI12 BK12 BM12 BO12 E13 G13 I13 K13 M13 O13 Q13 S13 U13 W13 Y13 AA13 AC13 AE13 AG13 AI13 AK13 AM13 AO13 AQ13 AS13 AU13 AW13 AY13 BA13 BC13 BE13 BG13 BI13 BK13 BM13 BO13 E15 G15 I15 K15 M15 O15 Q15 S15 U15 W15 Y15 AA15 AC15 AE15 AG15 AI15 AK15 AM15 AO15 AQ15 AS15 AU15 AW15 AY15 BA15 BC15 BE15 BG15 BI15 BK15 BM15 BO15 E16 G16 I16 K16 M16 O16 Q16 S16 U16 W16 Y16 AA16 AC16 AE16 AG16 AI16 AK16 AM16 AO16 AQ16 AS16 AU16 AW16 AY16 BA16 BC16 BE16 BG16 BI16 BK16 BM16 BO16 E17 G17 I17 K17 M17 O17 Q17 S17 U17 W17 Y17 AA17 AC17 AE17 AG17 AI17 AK17 AM17 AO17 AQ17 AS17 AU17 AW17 AY17 BA17 BC17 BE17 BG17 BI17 BK17 BM17 BO17 E20 G20 I20 K20 M20 O20 Q20 S20 U20 W20 Y20 AA20 AC20 AE20 AG20 AI20 AK20 AM20 AO20 AQ20 AS20 AU20 AW20 AY20 BA20 BC20 BE20 BG20 BI20 BK20 BM20 BO20 E21 G21 I21 K21 M21 O21 Q21 S21 U21 W21 Y21 AA21 AC21 AE21 AG21 AI21 AK21 AM21 AO21 AQ21 AS21 AU21 AW21 AY21 BA21 BC21 BE21 BG21 BI21 BK21 BM21 BO21 E24 G24 I24 K24 M24 O24 Q24 S24 U24 W24 Y24 AA24 AC24 AE24 AG24 AI24 AK24 AM24 AO24 AQ24 AS24 AU24 AW24 AY24 BA24 BC24 BE24 BG24 BI24 BK24 BM24 BO24 E26 G26 I26 K26 M26 O26 Q26 S26 U26 W26 Y26 AA26 AC26 AE26 AG26 AI26 AK26 AM26 AO26 AQ26 AS26 AU26 AW26 AY26 BA26 BC26 BE26 BG26 BI26 BK26 BM26 BO26" xr:uid="{3AD134AA-9F07-4908-9A9A-3EBBD9CBAD87}">
      <formula1>";Disp;Proj;Doku;Schul;Backlog;Meeting"</formula1>
    </dataValidation>
  </dataValidation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Start</vt:lpstr>
      <vt:lpstr>Information</vt:lpstr>
      <vt:lpstr>Administration</vt:lpstr>
      <vt:lpstr>Anleitung</vt:lpstr>
      <vt:lpstr>BAO</vt:lpstr>
      <vt:lpstr>Personen</vt:lpstr>
      <vt:lpstr>Bereitschaften</vt:lpstr>
      <vt:lpstr>Feiertage</vt:lpstr>
      <vt:lpstr>Ferien</vt:lpstr>
      <vt:lpstr>Legende</vt:lpstr>
      <vt:lpstr>Jan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2025-08-19T11:56:17Z</dcterms:created>
  <dcterms:modified xsi:type="dcterms:W3CDTF">2025-10-27T15:09:03Z</dcterms:modified>
</cp:coreProperties>
</file>